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micronet-s" sheetId="2" state="visible" r:id="rId4"/>
    <sheet name="mobilenetv1" sheetId="3" state="visible" r:id="rId5"/>
    <sheet name="qwen_blo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<sst xmlns="http://schemas.openxmlformats.org/spreadsheetml/2006/main" count="345" uniqueCount="225">
  <si>
    <t xml:space="preserve">parameter</t>
  </si>
  <si>
    <t xml:space="preserve">value</t>
  </si>
  <si>
    <t xml:space="preserve">note</t>
  </si>
  <si>
    <t xml:space="preserve">T_SIDE</t>
  </si>
  <si>
    <t xml:space="preserve">physical tile side (cells)</t>
  </si>
  <si>
    <t xml:space="preserve">CELL_BITS</t>
  </si>
  <si>
    <t xml:space="preserve">bits per memristor cell</t>
  </si>
  <si>
    <t xml:space="preserve">SPARE</t>
  </si>
  <si>
    <t xml:space="preserve">spare fraction for defects</t>
  </si>
  <si>
    <t xml:space="preserve">T_WL</t>
  </si>
  <si>
    <t xml:space="preserve">T per WL driver</t>
  </si>
  <si>
    <t xml:space="preserve">T_TIA</t>
  </si>
  <si>
    <t xml:space="preserve">T per column TIA</t>
  </si>
  <si>
    <t xml:space="preserve">T_TILE</t>
  </si>
  <si>
    <t xml:space="preserve">64*(2+10) = 768 T / full tile</t>
  </si>
  <si>
    <t xml:space="preserve">T_BIAS</t>
  </si>
  <si>
    <t xml:space="preserve">transisors per bias current source</t>
  </si>
  <si>
    <t xml:space="preserve">SERVO_T</t>
  </si>
  <si>
    <t xml:space="preserve">AGC servo transistors</t>
  </si>
  <si>
    <t xml:space="preserve">SERVO_C</t>
  </si>
  <si>
    <t xml:space="preserve">AGC servo capacitors</t>
  </si>
  <si>
    <t xml:space="preserve">SERVO_D</t>
  </si>
  <si>
    <t xml:space="preserve">AGC servo diodes</t>
  </si>
  <si>
    <t xml:space="preserve">DAC_SW</t>
  </si>
  <si>
    <t xml:space="preserve">DAC switches per lane</t>
  </si>
  <si>
    <t xml:space="preserve">ADC_T</t>
  </si>
  <si>
    <t xml:space="preserve">ADC(8/12) SAR transistors per lane</t>
  </si>
  <si>
    <t xml:space="preserve">ADC_C</t>
  </si>
  <si>
    <t xml:space="preserve">ADC cap-DAC caps per lane</t>
  </si>
  <si>
    <t xml:space="preserve">LIM_D</t>
  </si>
  <si>
    <t xml:space="preserve">limiter diodes per lane</t>
  </si>
  <si>
    <t xml:space="preserve">DW_K</t>
  </si>
  <si>
    <t xml:space="preserve">depthwise kernel taps (3x3)</t>
  </si>
  <si>
    <t xml:space="preserve">SUB_SQ</t>
  </si>
  <si>
    <t xml:space="preserve">sub-T per squarer lane</t>
  </si>
  <si>
    <t xml:space="preserve">SUB_DIV</t>
  </si>
  <si>
    <t xml:space="preserve">sub-T divider (Gilbert)</t>
  </si>
  <si>
    <t xml:space="preserve">SUB_SQRT</t>
  </si>
  <si>
    <t xml:space="preserve">sub-T sqrt</t>
  </si>
  <si>
    <t xml:space="preserve">T_DIV</t>
  </si>
  <si>
    <t xml:space="preserve">above-thr T per divider op-amp</t>
  </si>
  <si>
    <t xml:space="preserve">SUB_GATE</t>
  </si>
  <si>
    <t xml:space="preserve">sub-T per gate lane (5+9+10+5)</t>
  </si>
  <si>
    <t xml:space="preserve">SUB_SILU</t>
  </si>
  <si>
    <t xml:space="preserve">sub-T per SiLU lane</t>
  </si>
  <si>
    <t xml:space="preserve">SUB_MULT</t>
  </si>
  <si>
    <t xml:space="preserve">sub-T per Hadamard mult lane</t>
  </si>
  <si>
    <t xml:space="preserve">W_ROW</t>
  </si>
  <si>
    <t xml:space="preserve">readout wires per output row</t>
  </si>
  <si>
    <t xml:space="preserve">DW_T</t>
  </si>
  <si>
    <t xml:space="preserve">readout wires per output lane</t>
  </si>
  <si>
    <t xml:space="preserve">DW_FIX</t>
  </si>
  <si>
    <t xml:space="preserve">readout wires per dw stage</t>
  </si>
  <si>
    <t xml:space="preserve">M_PAD</t>
  </si>
  <si>
    <t xml:space="preserve">ring depth</t>
  </si>
  <si>
    <t xml:space="preserve">MicroNet-S (Speech Commands, 12 labels) — MicroNets, ARM ML-zoo</t>
  </si>
  <si>
    <t xml:space="preserve">Input MFCC 49x10. 59,136 int8 GEMM weights + 3.8KB BN (digital), pw-pointwise, dw-depthwise</t>
  </si>
  <si>
    <t xml:space="preserve">Tensor kind</t>
  </si>
  <si>
    <t xml:space="preserve">Count</t>
  </si>
  <si>
    <t xml:space="preserve">Rows (out)</t>
  </si>
  <si>
    <t xml:space="preserve">Cols (in)</t>
  </si>
  <si>
    <t xml:space="preserve">Params</t>
  </si>
  <si>
    <t xml:space="preserve">conv1 10x4x1-&gt;84 s1</t>
  </si>
  <si>
    <t xml:space="preserve">pw 1x1 84-&gt;112</t>
  </si>
  <si>
    <t xml:space="preserve">test run results in the sim</t>
  </si>
  <si>
    <t xml:space="preserve">rel_L2 error</t>
  </si>
  <si>
    <t xml:space="preserve">KL divergence</t>
  </si>
  <si>
    <t xml:space="preserve">dw 3x3 112ch</t>
  </si>
  <si>
    <t xml:space="preserve">noiseless</t>
  </si>
  <si>
    <t xml:space="preserve">pw 1x1 112-&gt;84</t>
  </si>
  <si>
    <t xml:space="preserve">with noise</t>
  </si>
  <si>
    <t xml:space="preserve">0.6715±0.2286</t>
  </si>
  <si>
    <t xml:space="preserve">0.00982±0.00563</t>
  </si>
  <si>
    <t xml:space="preserve">dw 3x3 84ch</t>
  </si>
  <si>
    <t xml:space="preserve">pw 1x1 84-&gt;84</t>
  </si>
  <si>
    <t xml:space="preserve">pw 1x1 84-&gt;196</t>
  </si>
  <si>
    <t xml:space="preserve">head 1x1 196-&gt;12</t>
  </si>
  <si>
    <t xml:space="preserve">TOTAL</t>
  </si>
  <si>
    <t xml:space="preserve">WB</t>
  </si>
  <si>
    <t xml:space="preserve">slices</t>
  </si>
  <si>
    <t xml:space="preserve">Layer</t>
  </si>
  <si>
    <t xml:space="preserve">Kind</t>
  </si>
  <si>
    <t xml:space="preserve">Rows</t>
  </si>
  <si>
    <t xml:space="preserve">Cols</t>
  </si>
  <si>
    <t xml:space="preserve">H</t>
  </si>
  <si>
    <t xml:space="preserve">W</t>
  </si>
  <si>
    <t xml:space="preserve">Tiles</t>
  </si>
  <si>
    <t xml:space="preserve">Channels</t>
  </si>
  <si>
    <t xml:space="preserve">Limiter</t>
  </si>
  <si>
    <t xml:space="preserve">Bias</t>
  </si>
  <si>
    <t xml:space="preserve">Transistors</t>
  </si>
  <si>
    <t xml:space="preserve">Subthreshold transistors</t>
  </si>
  <si>
    <t xml:space="preserve">Memristors</t>
  </si>
  <si>
    <t xml:space="preserve">Capacitors</t>
  </si>
  <si>
    <t xml:space="preserve">Diodes</t>
  </si>
  <si>
    <t xml:space="preserve">Wiring</t>
  </si>
  <si>
    <t xml:space="preserve">op0 conv 10x4 s1</t>
  </si>
  <si>
    <t xml:space="preserve">conv</t>
  </si>
  <si>
    <t xml:space="preserve">op1 dw 3x3 s2</t>
  </si>
  <si>
    <t xml:space="preserve">dw</t>
  </si>
  <si>
    <t xml:space="preserve">op2 pw</t>
  </si>
  <si>
    <t xml:space="preserve">pw</t>
  </si>
  <si>
    <t xml:space="preserve">op3 dw</t>
  </si>
  <si>
    <t xml:space="preserve">op4 pw</t>
  </si>
  <si>
    <t xml:space="preserve">op5 dw</t>
  </si>
  <si>
    <t xml:space="preserve">op6 pw</t>
  </si>
  <si>
    <t xml:space="preserve">op7 dw</t>
  </si>
  <si>
    <t xml:space="preserve">op8 pw</t>
  </si>
  <si>
    <t xml:space="preserve">op9 dw</t>
  </si>
  <si>
    <t xml:space="preserve">op10 pw</t>
  </si>
  <si>
    <t xml:space="preserve">AvgPool 125:1</t>
  </si>
  <si>
    <t xml:space="preserve">pool</t>
  </si>
  <si>
    <t xml:space="preserve">head (no act)</t>
  </si>
  <si>
    <t xml:space="preserve">head</t>
  </si>
  <si>
    <t xml:space="preserve">DAC(8)</t>
  </si>
  <si>
    <t xml:space="preserve">dac</t>
  </si>
  <si>
    <t xml:space="preserve">ADC(8)</t>
  </si>
  <si>
    <t xml:space="preserve">adc</t>
  </si>
  <si>
    <t xml:space="preserve">bus wiring</t>
  </si>
  <si>
    <t xml:space="preserve">bus</t>
  </si>
  <si>
    <t xml:space="preserve">MobileNetV1 1.0 (224px, ImageNet-1000)</t>
  </si>
  <si>
    <t xml:space="preserve">dw = depthwise 3x3 (cols=9, one filter/channel); pw = pointwise 1x1. Total ~4.21M params.</t>
  </si>
  <si>
    <t xml:space="preserve">conv3x3 3-&gt;32 s2</t>
  </si>
  <si>
    <t xml:space="preserve">b1 dw 32 (112x112)</t>
  </si>
  <si>
    <t xml:space="preserve">b1 pw 32-&gt;64</t>
  </si>
  <si>
    <t xml:space="preserve">b2 dw 64 (56x56)</t>
  </si>
  <si>
    <t xml:space="preserve">1.1459±0.2205</t>
  </si>
  <si>
    <t xml:space="preserve">0.27767±0.07489</t>
  </si>
  <si>
    <t xml:space="preserve">b2 pw 64-&gt;128</t>
  </si>
  <si>
    <t xml:space="preserve">b3 dw 128 (56x56)</t>
  </si>
  <si>
    <t xml:space="preserve">b3 pw 128-&gt;128</t>
  </si>
  <si>
    <t xml:space="preserve">b4 dw 128 (28x28)</t>
  </si>
  <si>
    <t xml:space="preserve">b4 pw 128-&gt;256</t>
  </si>
  <si>
    <t xml:space="preserve">b5 dw 256 (28x28)</t>
  </si>
  <si>
    <t xml:space="preserve">b5 pw 256-&gt;256</t>
  </si>
  <si>
    <t xml:space="preserve">b6 dw 256 (14x14)</t>
  </si>
  <si>
    <t xml:space="preserve">b6 pw 256-&gt;512</t>
  </si>
  <si>
    <t xml:space="preserve">b7-b11 dw 512 (14x14)</t>
  </si>
  <si>
    <t xml:space="preserve">b7-b11 pw 512-&gt;512</t>
  </si>
  <si>
    <t xml:space="preserve">b12 dw 512 (7x7)</t>
  </si>
  <si>
    <t xml:space="preserve">b12 pw 512-&gt;1024</t>
  </si>
  <si>
    <t xml:space="preserve">b13 dw 1024 (7x7)</t>
  </si>
  <si>
    <t xml:space="preserve">b13 pw 1024-&gt;1024</t>
  </si>
  <si>
    <t xml:space="preserve">fc (1024-&gt;1001)</t>
  </si>
  <si>
    <t xml:space="preserve">weight bit width</t>
  </si>
  <si>
    <t xml:space="preserve">stem 3x3 s2</t>
  </si>
  <si>
    <t xml:space="preserve">L0 dw</t>
  </si>
  <si>
    <t xml:space="preserve">L1 pw</t>
  </si>
  <si>
    <t xml:space="preserve">L2 dw s2</t>
  </si>
  <si>
    <t xml:space="preserve">L3 pw</t>
  </si>
  <si>
    <t xml:space="preserve">L4 dw</t>
  </si>
  <si>
    <t xml:space="preserve">L5 pw</t>
  </si>
  <si>
    <t xml:space="preserve">L6 dw s2</t>
  </si>
  <si>
    <t xml:space="preserve">L7 pw</t>
  </si>
  <si>
    <t xml:space="preserve">L8 dw</t>
  </si>
  <si>
    <t xml:space="preserve">L9 pw</t>
  </si>
  <si>
    <t xml:space="preserve">L10 dw s2</t>
  </si>
  <si>
    <t xml:space="preserve">L11 pw</t>
  </si>
  <si>
    <t xml:space="preserve">L12 dw</t>
  </si>
  <si>
    <t xml:space="preserve">L13 pw</t>
  </si>
  <si>
    <t xml:space="preserve">L14 dw s2</t>
  </si>
  <si>
    <t xml:space="preserve">L15 pw</t>
  </si>
  <si>
    <t xml:space="preserve">L16 dw</t>
  </si>
  <si>
    <t xml:space="preserve">L17 pw</t>
  </si>
  <si>
    <t xml:space="preserve">L18 dw</t>
  </si>
  <si>
    <t xml:space="preserve">L19 pw</t>
  </si>
  <si>
    <t xml:space="preserve">L20 dw</t>
  </si>
  <si>
    <t xml:space="preserve">L21 pw</t>
  </si>
  <si>
    <t xml:space="preserve">L22 dw</t>
  </si>
  <si>
    <t xml:space="preserve">L23 pw</t>
  </si>
  <si>
    <t xml:space="preserve">L24 dw</t>
  </si>
  <si>
    <t xml:space="preserve">L25 pw</t>
  </si>
  <si>
    <t xml:space="preserve">AvgPool 49:1</t>
  </si>
  <si>
    <t xml:space="preserve">Qwen3.8-27B</t>
  </si>
  <si>
    <t xml:space="preserve">Input – dynamic + kv-cache, would use paged attention aligned to crossbar tile size</t>
  </si>
  <si>
    <t xml:space="preserve">token_embd.weight</t>
  </si>
  <si>
    <t xml:space="preserve">output.weight (lm_head)</t>
  </si>
  <si>
    <t xml:space="preserve">r (correlation)</t>
  </si>
  <si>
    <t xml:space="preserve">attn_qkv (linear attn)</t>
  </si>
  <si>
    <t xml:space="preserve">orig ideal-vs-golden</t>
  </si>
  <si>
    <t xml:space="preserve">attn_gate (linear attn)</t>
  </si>
  <si>
    <t xml:space="preserve">orig noiseless</t>
  </si>
  <si>
    <t xml:space="preserve">ssm_alpha (linear attn)</t>
  </si>
  <si>
    <t xml:space="preserve">orig default</t>
  </si>
  <si>
    <t xml:space="preserve">1.2213±0.5090</t>
  </si>
  <si>
    <t xml:space="preserve">0.4561±0.2231</t>
  </si>
  <si>
    <t xml:space="preserve">ssm_beta (linear attn)</t>
  </si>
  <si>
    <t xml:space="preserve">tuned ideal-vs-golden</t>
  </si>
  <si>
    <t xml:space="preserve">ssm_out (linear attn)</t>
  </si>
  <si>
    <t xml:space="preserve">tuned noiseless</t>
  </si>
  <si>
    <t xml:space="preserve">attn_q (dense attn)</t>
  </si>
  <si>
    <t xml:space="preserve">tuned default</t>
  </si>
  <si>
    <t xml:space="preserve">0.9078±0.3368</t>
  </si>
  <si>
    <t xml:space="preserve">0.6276±0.1496</t>
  </si>
  <si>
    <t xml:space="preserve">attn_k (dense attn)</t>
  </si>
  <si>
    <t xml:space="preserve">attn_v (dense attn)</t>
  </si>
  <si>
    <t xml:space="preserve">attn_output (dense attn)</t>
  </si>
  <si>
    <t xml:space="preserve">ffn_gate</t>
  </si>
  <si>
    <t xml:space="preserve">ffn_up</t>
  </si>
  <si>
    <t xml:space="preserve">ffn_down</t>
  </si>
  <si>
    <t xml:space="preserve">nextn.eh_proj (MTP)</t>
  </si>
  <si>
    <t xml:space="preserve">S_BUS</t>
  </si>
  <si>
    <t xml:space="preserve">S_LIVE</t>
  </si>
  <si>
    <t xml:space="preserve"># heads</t>
  </si>
  <si>
    <t xml:space="preserve">head dimension</t>
  </si>
  <si>
    <t xml:space="preserve">model dimension</t>
  </si>
  <si>
    <t xml:space="preserve">Qwen3.8-27B linear-attn block - ONE block, 16-bit weights finetuned</t>
  </si>
  <si>
    <t xml:space="preserve">w_qkv</t>
  </si>
  <si>
    <t xml:space="preserve">mm</t>
  </si>
  <si>
    <t xml:space="preserve">w_z</t>
  </si>
  <si>
    <t xml:space="preserve">w_b</t>
  </si>
  <si>
    <t xml:space="preserve">w_a</t>
  </si>
  <si>
    <t xml:space="preserve">w_o</t>
  </si>
  <si>
    <t xml:space="preserve">DWConv ColumnArray (custom, see note)</t>
  </si>
  <si>
    <t xml:space="preserve">dwca</t>
  </si>
  <si>
    <t xml:space="preserve">DWConv SiLU</t>
  </si>
  <si>
    <t xml:space="preserve">kernel</t>
  </si>
  <si>
    <t xml:space="preserve">Gate (beta+decay)</t>
  </si>
  <si>
    <t xml:space="preserve">L2Norm (q,k)</t>
  </si>
  <si>
    <t xml:space="preserve">GDN state (CapArray)</t>
  </si>
  <si>
    <t xml:space="preserve">Head readout mults</t>
  </si>
  <si>
    <t xml:space="preserve">RMSNorm(128)</t>
  </si>
  <si>
    <t xml:space="preserve">SiLU+Hadamard</t>
  </si>
  <si>
    <t xml:space="preserve">Biases (dead, zero)</t>
  </si>
  <si>
    <t xml:space="preserve">ADC(12)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</si>
</sst>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FFDE7"/>
        <bgColor rgb="FFFFFFFF"/>
      </patternFill>
    </fill>
    <fill>
      <patternFill patternType="solid">
        <fgColor rgb="FF1F4E78"/>
        <bgColor rgb="FF2A6099"/>
      </patternFill>
    </fill>
    <fill>
      <patternFill patternType="solid">
        <fgColor rgb="FF2A6099"/>
        <bgColor rgb="FF1F4E78"/>
      </patternFill>
    </fill>
    <fill>
      <patternFill patternType="solid">
        <fgColor rgb="FFE8F2A1"/>
        <bgColor rgb="FFE2EFDA"/>
      </patternFill>
    </fill>
    <fill>
      <patternFill patternType="solid">
        <fgColor rgb="FFE2EFDA"/>
        <bgColor rgb="FFF6F9D4"/>
      </patternFill>
    </fill>
    <fill>
      <patternFill patternType="solid">
        <fgColor rgb="FFF6F9D4"/>
        <bgColor rgb="FFFFFD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FFFDE7"/>
      <rgbColor rgb="FF660066"/>
      <rgbColor rgb="FFFF8080"/>
      <rgbColor rgb="FF2A6099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17"/>
    <col collapsed="false" customWidth="true" hidden="false" outlineLevel="0" max="2" min="2" style="1" width="22"/>
    <col collapsed="false" customWidth="true" hidden="false" outlineLevel="0" max="3" min="3" style="1" width="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3" t="n">
        <v>64</v>
      </c>
      <c r="C2" s="1" t="s">
        <v>4</v>
      </c>
    </row>
    <row r="3" customFormat="false" ht="15" hidden="false" customHeight="false" outlineLevel="0" collapsed="false">
      <c r="A3" s="1" t="s">
        <v>5</v>
      </c>
      <c r="B3" s="3" t="n">
        <v>2</v>
      </c>
      <c r="C3" s="1" t="s">
        <v>6</v>
      </c>
    </row>
    <row r="4" customFormat="false" ht="15" hidden="false" customHeight="false" outlineLevel="0" collapsed="false">
      <c r="A4" s="1" t="s">
        <v>7</v>
      </c>
      <c r="B4" s="3" t="n">
        <v>0.2</v>
      </c>
      <c r="C4" s="1" t="s">
        <v>8</v>
      </c>
    </row>
    <row r="5" customFormat="false" ht="15" hidden="false" customHeight="false" outlineLevel="0" collapsed="false">
      <c r="A5" s="1" t="s">
        <v>9</v>
      </c>
      <c r="B5" s="3" t="n">
        <v>2</v>
      </c>
      <c r="C5" s="1" t="s">
        <v>10</v>
      </c>
    </row>
    <row r="6" customFormat="false" ht="15" hidden="false" customHeight="false" outlineLevel="0" collapsed="false">
      <c r="A6" s="1" t="s">
        <v>11</v>
      </c>
      <c r="B6" s="3" t="n">
        <v>10</v>
      </c>
      <c r="C6" s="1" t="s">
        <v>12</v>
      </c>
    </row>
    <row r="7" customFormat="false" ht="15" hidden="false" customHeight="false" outlineLevel="0" collapsed="false">
      <c r="A7" s="1" t="s">
        <v>13</v>
      </c>
      <c r="B7" s="3" t="n">
        <f aca="false">B2*(B5+B6)</f>
        <v>768</v>
      </c>
      <c r="C7" s="1" t="s">
        <v>14</v>
      </c>
    </row>
    <row r="8" customFormat="false" ht="15" hidden="false" customHeight="false" outlineLevel="0" collapsed="false">
      <c r="A8" s="1" t="s">
        <v>15</v>
      </c>
      <c r="B8" s="3" t="n">
        <v>1</v>
      </c>
      <c r="C8" s="1" t="s">
        <v>16</v>
      </c>
    </row>
    <row r="9" customFormat="false" ht="15" hidden="false" customHeight="false" outlineLevel="0" collapsed="false">
      <c r="A9" s="1" t="s">
        <v>17</v>
      </c>
      <c r="B9" s="3" t="n">
        <v>20</v>
      </c>
      <c r="C9" s="1" t="s">
        <v>18</v>
      </c>
    </row>
    <row r="10" customFormat="false" ht="15" hidden="false" customHeight="false" outlineLevel="0" collapsed="false">
      <c r="A10" s="1" t="s">
        <v>19</v>
      </c>
      <c r="B10" s="3" t="n">
        <v>2</v>
      </c>
      <c r="C10" s="1" t="s">
        <v>20</v>
      </c>
    </row>
    <row r="11" customFormat="false" ht="15" hidden="false" customHeight="false" outlineLevel="0" collapsed="false">
      <c r="A11" s="1" t="s">
        <v>21</v>
      </c>
      <c r="B11" s="3" t="n">
        <v>1</v>
      </c>
      <c r="C11" s="1" t="s">
        <v>22</v>
      </c>
    </row>
    <row r="12" customFormat="false" ht="15" hidden="false" customHeight="false" outlineLevel="0" collapsed="false">
      <c r="A12" s="1" t="s">
        <v>23</v>
      </c>
      <c r="B12" s="3" t="n">
        <v>8</v>
      </c>
      <c r="C12" s="1" t="s">
        <v>24</v>
      </c>
    </row>
    <row r="13" customFormat="false" ht="15" hidden="false" customHeight="false" outlineLevel="0" collapsed="false">
      <c r="A13" s="1" t="s">
        <v>25</v>
      </c>
      <c r="B13" s="3" t="n">
        <v>10</v>
      </c>
      <c r="C13" s="1" t="s">
        <v>26</v>
      </c>
    </row>
    <row r="14" customFormat="false" ht="15" hidden="false" customHeight="false" outlineLevel="0" collapsed="false">
      <c r="A14" s="1" t="s">
        <v>27</v>
      </c>
      <c r="B14" s="3" t="n">
        <v>8</v>
      </c>
      <c r="C14" s="1" t="s">
        <v>28</v>
      </c>
    </row>
    <row r="15" customFormat="false" ht="15" hidden="false" customHeight="false" outlineLevel="0" collapsed="false">
      <c r="A15" s="1" t="s">
        <v>29</v>
      </c>
      <c r="B15" s="3" t="n">
        <v>2</v>
      </c>
      <c r="C15" s="1" t="s">
        <v>30</v>
      </c>
    </row>
    <row r="16" customFormat="false" ht="15" hidden="false" customHeight="false" outlineLevel="0" collapsed="false">
      <c r="A16" s="1" t="s">
        <v>31</v>
      </c>
      <c r="B16" s="3" t="n">
        <v>9</v>
      </c>
      <c r="C16" s="1" t="s">
        <v>32</v>
      </c>
    </row>
    <row r="17" customFormat="false" ht="15" hidden="false" customHeight="false" outlineLevel="0" collapsed="false">
      <c r="A17" s="1" t="s">
        <v>33</v>
      </c>
      <c r="B17" s="3" t="n">
        <v>4</v>
      </c>
      <c r="C17" s="1" t="s">
        <v>34</v>
      </c>
    </row>
    <row r="18" customFormat="false" ht="15" hidden="false" customHeight="false" outlineLevel="0" collapsed="false">
      <c r="A18" s="1" t="s">
        <v>35</v>
      </c>
      <c r="B18" s="3" t="n">
        <v>10</v>
      </c>
      <c r="C18" s="1" t="s">
        <v>36</v>
      </c>
    </row>
    <row r="19" customFormat="false" ht="15" hidden="false" customHeight="false" outlineLevel="0" collapsed="false">
      <c r="A19" s="1" t="s">
        <v>37</v>
      </c>
      <c r="B19" s="3" t="n">
        <v>8</v>
      </c>
      <c r="C19" s="1" t="s">
        <v>38</v>
      </c>
    </row>
    <row r="20" customFormat="false" ht="15" hidden="false" customHeight="false" outlineLevel="0" collapsed="false">
      <c r="A20" s="1" t="s">
        <v>39</v>
      </c>
      <c r="B20" s="3" t="n">
        <v>10</v>
      </c>
      <c r="C20" s="1" t="s">
        <v>40</v>
      </c>
    </row>
    <row r="21" customFormat="false" ht="15" hidden="false" customHeight="false" outlineLevel="0" collapsed="false">
      <c r="A21" s="1" t="s">
        <v>41</v>
      </c>
      <c r="B21" s="3" t="n">
        <v>29</v>
      </c>
      <c r="C21" s="1" t="s">
        <v>42</v>
      </c>
    </row>
    <row r="22" customFormat="false" ht="15" hidden="false" customHeight="false" outlineLevel="0" collapsed="false">
      <c r="A22" s="1" t="s">
        <v>43</v>
      </c>
      <c r="B22" s="3" t="n">
        <v>15</v>
      </c>
      <c r="C22" s="1" t="s">
        <v>44</v>
      </c>
    </row>
    <row r="23" customFormat="false" ht="15" hidden="false" customHeight="false" outlineLevel="0" collapsed="false">
      <c r="A23" s="1" t="s">
        <v>45</v>
      </c>
      <c r="B23" s="3" t="n">
        <v>10</v>
      </c>
      <c r="C23" s="1" t="s">
        <v>46</v>
      </c>
    </row>
    <row r="24" customFormat="false" ht="15" hidden="false" customHeight="false" outlineLevel="0" collapsed="false">
      <c r="A24" s="1" t="s">
        <v>47</v>
      </c>
      <c r="B24" s="3" t="n">
        <v>10</v>
      </c>
      <c r="C24" s="1" t="s">
        <v>48</v>
      </c>
    </row>
    <row r="25" customFormat="false" ht="15" hidden="false" customHeight="false" outlineLevel="0" collapsed="false">
      <c r="A25" s="1" t="s">
        <v>49</v>
      </c>
      <c r="B25" s="3" t="n">
        <v>11</v>
      </c>
      <c r="C25" s="1" t="s">
        <v>50</v>
      </c>
    </row>
    <row r="26" customFormat="false" ht="15" hidden="false" customHeight="false" outlineLevel="0" collapsed="false">
      <c r="A26" s="1" t="s">
        <v>51</v>
      </c>
      <c r="B26" s="3" t="n">
        <v>38</v>
      </c>
      <c r="C26" s="1" t="s">
        <v>52</v>
      </c>
    </row>
    <row r="27" customFormat="false" ht="15" hidden="false" customHeight="false" outlineLevel="0" collapsed="false">
      <c r="A27" s="1" t="s">
        <v>53</v>
      </c>
      <c r="B27" s="3" t="n">
        <v>16</v>
      </c>
      <c r="C27" s="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2" activeCellId="0" sqref="A4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"/>
    <col collapsed="false" customWidth="true" hidden="false" outlineLevel="0" max="4" min="3" style="1" width="9"/>
    <col collapsed="false" customWidth="true" hidden="false" outlineLevel="0" max="5" min="5" style="1" width="7"/>
    <col collapsed="false" customWidth="true" hidden="false" outlineLevel="0" max="6" min="6" style="1" width="14.65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6.89"/>
    <col collapsed="false" customWidth="true" hidden="false" outlineLevel="0" max="10" min="10" style="1" width="16.32"/>
    <col collapsed="false" customWidth="true" hidden="false" outlineLevel="0" max="11" min="11" style="1" width="16.5"/>
    <col collapsed="false" customWidth="true" hidden="false" outlineLevel="0" max="14" min="12" style="1" width="13"/>
    <col collapsed="false" customWidth="true" hidden="false" outlineLevel="0" max="15" min="15" style="1" width="13.16"/>
    <col collapsed="false" customWidth="true" hidden="false" outlineLevel="0" max="17" min="16" style="1" width="13"/>
    <col collapsed="false" customWidth="true" hidden="false" outlineLevel="0" max="16384" min="16384" style="0" width="11.53"/>
  </cols>
  <sheetData>
    <row r="1" customFormat="false" ht="17.35" hidden="false" customHeight="false" outlineLevel="0" collapsed="false">
      <c r="A1" s="4" t="s">
        <v>55</v>
      </c>
    </row>
    <row r="2" customFormat="false" ht="15" hidden="false" customHeight="false" outlineLevel="0" collapsed="false">
      <c r="A2" s="1" t="s">
        <v>56</v>
      </c>
    </row>
    <row r="4" customFormat="false" ht="15" hidden="false" customHeight="fals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0"/>
    </row>
    <row r="5" customFormat="false" ht="15" hidden="false" customHeight="false" outlineLevel="0" collapsed="false">
      <c r="A5" s="6" t="s">
        <v>62</v>
      </c>
      <c r="B5" s="6" t="n">
        <v>1</v>
      </c>
      <c r="C5" s="6" t="n">
        <v>84</v>
      </c>
      <c r="D5" s="6" t="n">
        <v>40</v>
      </c>
      <c r="E5" s="6" t="n">
        <f aca="false">B5*C5*D5</f>
        <v>3360</v>
      </c>
      <c r="F5" s="0"/>
    </row>
    <row r="6" customFormat="false" ht="15" hidden="false" customHeight="false" outlineLevel="0" collapsed="false">
      <c r="A6" s="6" t="s">
        <v>63</v>
      </c>
      <c r="B6" s="6" t="n">
        <v>1</v>
      </c>
      <c r="C6" s="6" t="n">
        <v>112</v>
      </c>
      <c r="D6" s="6" t="n">
        <v>84</v>
      </c>
      <c r="E6" s="6" t="n">
        <f aca="false">B6*C6*D6</f>
        <v>9408</v>
      </c>
      <c r="F6" s="0"/>
      <c r="I6" s="7" t="s">
        <v>64</v>
      </c>
      <c r="J6" s="8" t="s">
        <v>65</v>
      </c>
      <c r="K6" s="8" t="s">
        <v>66</v>
      </c>
    </row>
    <row r="7" customFormat="false" ht="15" hidden="false" customHeight="false" outlineLevel="0" collapsed="false">
      <c r="A7" s="6" t="s">
        <v>67</v>
      </c>
      <c r="B7" s="6" t="n">
        <v>1</v>
      </c>
      <c r="C7" s="6" t="n">
        <v>112</v>
      </c>
      <c r="D7" s="6" t="n">
        <v>9</v>
      </c>
      <c r="E7" s="6" t="n">
        <f aca="false">B7*C7*D7</f>
        <v>1008</v>
      </c>
      <c r="F7" s="0"/>
      <c r="I7" s="9" t="s">
        <v>68</v>
      </c>
      <c r="J7" s="10" t="n">
        <v>0.0034</v>
      </c>
      <c r="K7" s="10" t="n">
        <v>0</v>
      </c>
    </row>
    <row r="8" customFormat="false" ht="15" hidden="false" customHeight="false" outlineLevel="0" collapsed="false">
      <c r="A8" s="6" t="s">
        <v>69</v>
      </c>
      <c r="B8" s="6" t="n">
        <v>1</v>
      </c>
      <c r="C8" s="6" t="n">
        <v>84</v>
      </c>
      <c r="D8" s="6" t="n">
        <v>112</v>
      </c>
      <c r="E8" s="6" t="n">
        <f aca="false">B8*C8*D8</f>
        <v>9408</v>
      </c>
      <c r="F8" s="0"/>
      <c r="I8" s="9" t="s">
        <v>70</v>
      </c>
      <c r="J8" s="10" t="s">
        <v>71</v>
      </c>
      <c r="K8" s="10" t="s">
        <v>72</v>
      </c>
    </row>
    <row r="9" customFormat="false" ht="15" hidden="false" customHeight="false" outlineLevel="0" collapsed="false">
      <c r="A9" s="6" t="s">
        <v>73</v>
      </c>
      <c r="B9" s="6" t="n">
        <v>4</v>
      </c>
      <c r="C9" s="6" t="n">
        <v>84</v>
      </c>
      <c r="D9" s="6" t="n">
        <v>9</v>
      </c>
      <c r="E9" s="6" t="n">
        <f aca="false">B9*C9*D9</f>
        <v>3024</v>
      </c>
      <c r="F9" s="0"/>
    </row>
    <row r="10" customFormat="false" ht="15" hidden="false" customHeight="false" outlineLevel="0" collapsed="false">
      <c r="A10" s="6" t="s">
        <v>74</v>
      </c>
      <c r="B10" s="6" t="n">
        <v>2</v>
      </c>
      <c r="C10" s="6" t="n">
        <v>84</v>
      </c>
      <c r="D10" s="6" t="n">
        <v>84</v>
      </c>
      <c r="E10" s="6" t="n">
        <f aca="false">B10*C10*D10</f>
        <v>14112</v>
      </c>
      <c r="F10" s="0"/>
    </row>
    <row r="11" customFormat="false" ht="15" hidden="false" customHeight="false" outlineLevel="0" collapsed="false">
      <c r="A11" s="6" t="s">
        <v>75</v>
      </c>
      <c r="B11" s="6" t="n">
        <v>1</v>
      </c>
      <c r="C11" s="6" t="n">
        <v>196</v>
      </c>
      <c r="D11" s="6" t="n">
        <v>84</v>
      </c>
      <c r="E11" s="6" t="n">
        <f aca="false">B11*C11*D11</f>
        <v>16464</v>
      </c>
      <c r="F11" s="0"/>
    </row>
    <row r="12" customFormat="false" ht="15" hidden="false" customHeight="false" outlineLevel="0" collapsed="false">
      <c r="A12" s="6" t="s">
        <v>76</v>
      </c>
      <c r="B12" s="6" t="n">
        <v>1</v>
      </c>
      <c r="C12" s="6" t="n">
        <v>12</v>
      </c>
      <c r="D12" s="6" t="n">
        <v>196</v>
      </c>
      <c r="E12" s="6" t="n">
        <f aca="false">B12*C12*D12</f>
        <v>2352</v>
      </c>
      <c r="F12" s="0"/>
    </row>
    <row r="13" customFormat="false" ht="15" hidden="false" customHeight="false" outlineLevel="0" collapsed="false">
      <c r="A13" s="11" t="s">
        <v>77</v>
      </c>
      <c r="B13" s="12"/>
      <c r="C13" s="12"/>
      <c r="D13" s="12"/>
      <c r="E13" s="11" t="n">
        <f aca="false">SUM(E5:E12)</f>
        <v>59136</v>
      </c>
      <c r="F13" s="0"/>
    </row>
    <row r="14" customFormat="false" ht="15" hidden="false" customHeight="false" outlineLevel="0" collapsed="false">
      <c r="F14" s="0"/>
    </row>
    <row r="15" customFormat="false" ht="15" hidden="false" customHeight="false" outlineLevel="0" collapsed="false">
      <c r="A15" s="1" t="s">
        <v>78</v>
      </c>
      <c r="B15" s="3" t="n">
        <v>8</v>
      </c>
    </row>
    <row r="16" customFormat="false" ht="15" hidden="false" customHeight="false" outlineLevel="0" collapsed="false">
      <c r="A16" s="1" t="s">
        <v>79</v>
      </c>
      <c r="B16" s="1" t="n">
        <f aca="false">B15/config!$B$3</f>
        <v>4</v>
      </c>
    </row>
    <row r="19" customFormat="false" ht="15" hidden="false" customHeight="false" outlineLevel="0" collapsed="false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85</v>
      </c>
      <c r="G19" s="2" t="s">
        <v>86</v>
      </c>
      <c r="H19" s="2" t="s">
        <v>61</v>
      </c>
      <c r="I19" s="2" t="s">
        <v>87</v>
      </c>
      <c r="J19" s="2" t="s">
        <v>88</v>
      </c>
      <c r="K19" s="2" t="s">
        <v>89</v>
      </c>
      <c r="L19" s="2" t="s">
        <v>90</v>
      </c>
      <c r="M19" s="2" t="s">
        <v>91</v>
      </c>
      <c r="N19" s="2" t="s">
        <v>92</v>
      </c>
      <c r="O19" s="2" t="s">
        <v>93</v>
      </c>
      <c r="P19" s="2" t="s">
        <v>94</v>
      </c>
      <c r="Q19" s="2" t="s">
        <v>95</v>
      </c>
    </row>
    <row r="20" customFormat="false" ht="15" hidden="false" customHeight="false" outlineLevel="0" collapsed="false">
      <c r="A20" s="3" t="s">
        <v>96</v>
      </c>
      <c r="B20" s="3" t="s">
        <v>97</v>
      </c>
      <c r="C20" s="3" t="n">
        <v>84</v>
      </c>
      <c r="D20" s="3" t="n">
        <v>40</v>
      </c>
      <c r="E20" s="3" t="n">
        <v>49</v>
      </c>
      <c r="F20" s="3" t="n">
        <v>10</v>
      </c>
      <c r="G20" s="1" t="n">
        <f aca="false">IF(OR(B20="conv",B20="pw",B20="head",B20="mm"),-INT(-C20/config!$B$2)*-INT(-D20/config!$B$2),IF(B20="dw",1,""))</f>
        <v>2</v>
      </c>
      <c r="H20" s="1" t="n">
        <f aca="false">IF(OR(B20="conv",B20="pw",B20="head",B20="mm",B20="dw"),C20*D20,"")</f>
        <v>3360</v>
      </c>
      <c r="I20" s="1" t="n">
        <f aca="false">IF(OR(B20="conv",B20="pw",B20="head",B20="mm",B20="dw",B20="pool"),C20,"")</f>
        <v>84</v>
      </c>
      <c r="J20" s="1" t="n">
        <f aca="false">IF(OR(B20="conv",B20="pw",B20="mm",B20="dw"),I20*E20*F20,0)</f>
        <v>41160</v>
      </c>
      <c r="K20" s="1" t="n">
        <f aca="false">IF(OR(B20="conv",B20="pw",B20="dw",B20="head"),C20,0)</f>
        <v>84</v>
      </c>
      <c r="L20" s="1" t="n">
        <f aca="false">IF(B20="dw",I20*config!$B$6+config!$B$16*config!$B$5+K20+config!$B$9,IF(B20="pool",I20*2+config!$B$9,IF(B20="dac",C20*config!$B$12,IF(B20="adc",C20*config!$B$13,IF(OR(B20="conv",B20="pw"),G20*config!$B$7+K20+config!$B$9,IF(B20="head",G20*config!$B$7+K20,""))))))</f>
        <v>1640</v>
      </c>
      <c r="M20" s="1" t="n">
        <v>0</v>
      </c>
      <c r="N20" s="1" t="n">
        <f aca="false">IF(OR(B20="conv",B20="pw",B20="head",B20="mm",B20="dw"),H20*2*'micronet-s'!$B$16*(1+config!$B$4),0)</f>
        <v>32256</v>
      </c>
      <c r="O20" s="1" t="n">
        <f aca="false">IF(OR(B20="conv",B20="pw",B20="dw",B20="pool"),config!$B$10,IF(B20="adc",C20*config!$B$14,0))</f>
        <v>2</v>
      </c>
      <c r="P20" s="1" t="n">
        <f aca="false">IF(OR(B20="conv",B20="pw",B20="dw",B20="pool"),J20*2+config!$B$11,0)</f>
        <v>82321</v>
      </c>
      <c r="Q20" s="1" t="n">
        <f aca="false">IF(OR(B20="conv",B20="pw",B20="dw",B20="head"),G20*2*config!$B$2+I20*10,0)</f>
        <v>1096</v>
      </c>
    </row>
    <row r="21" customFormat="false" ht="15" hidden="false" customHeight="false" outlineLevel="0" collapsed="false">
      <c r="A21" s="3" t="s">
        <v>98</v>
      </c>
      <c r="B21" s="3" t="s">
        <v>99</v>
      </c>
      <c r="C21" s="3" t="n">
        <v>84</v>
      </c>
      <c r="D21" s="3" t="n">
        <v>9</v>
      </c>
      <c r="E21" s="3" t="n">
        <v>25</v>
      </c>
      <c r="F21" s="3" t="n">
        <v>5</v>
      </c>
      <c r="G21" s="1" t="n">
        <f aca="false">IF(OR(B21="conv",B21="pw",B21="head",B21="mm"),-INT(-C21/config!$B$2)*-INT(-D21/config!$B$2),IF(B21="dw",1,""))</f>
        <v>1</v>
      </c>
      <c r="H21" s="1" t="n">
        <f aca="false">IF(OR(B21="conv",B21="pw",B21="head",B21="mm",B21="dw"),C21*D21,"")</f>
        <v>756</v>
      </c>
      <c r="I21" s="1" t="n">
        <f aca="false">IF(OR(B21="conv",B21="pw",B21="head",B21="mm",B21="dw",B21="pool"),C21,"")</f>
        <v>84</v>
      </c>
      <c r="J21" s="1" t="n">
        <f aca="false">IF(OR(B21="conv",B21="pw",B21="mm",B21="dw"),I21*E21*F21,0)</f>
        <v>10500</v>
      </c>
      <c r="K21" s="1" t="n">
        <f aca="false">IF(OR(B21="conv",B21="pw",B21="dw",B21="head"),C21,0)</f>
        <v>84</v>
      </c>
      <c r="L21" s="1" t="n">
        <f aca="false">IF(B21="dw",I21*config!$B$6+config!$B$16*config!$B$5+K21+config!$B$9,IF(B21="pool",I21*2+config!$B$9,IF(B21="dac",C21*config!$B$12,IF(B21="adc",C21*config!$B$13,IF(OR(B21="conv",B21="pw"),G21*config!$B$7+K21+config!$B$9,IF(B21="head",G21*config!$B$7+K21,""))))))</f>
        <v>962</v>
      </c>
      <c r="M21" s="1" t="n">
        <v>0</v>
      </c>
      <c r="N21" s="1" t="n">
        <f aca="false">IF(OR(B21="conv",B21="pw",B21="head",B21="mm",B21="dw"),H21*2*'micronet-s'!$B$16*(1+config!$B$4),0)</f>
        <v>7257.6</v>
      </c>
      <c r="O21" s="1" t="n">
        <f aca="false">IF(OR(B21="conv",B21="pw",B21="dw",B21="pool"),config!$B$10,IF(B21="adc",C21*config!$B$14,0))</f>
        <v>2</v>
      </c>
      <c r="P21" s="1" t="n">
        <f aca="false">IF(OR(B21="conv",B21="pw",B21="dw",B21="pool"),J21*2+config!$B$11,0)</f>
        <v>21001</v>
      </c>
      <c r="Q21" s="1" t="n">
        <f aca="false">IF(OR(B21="conv",B21="pw",B21="dw",B21="head"),G21*2*config!$B$2+I21*10,0)</f>
        <v>968</v>
      </c>
    </row>
    <row r="22" customFormat="false" ht="15" hidden="false" customHeight="false" outlineLevel="0" collapsed="false">
      <c r="A22" s="3" t="s">
        <v>100</v>
      </c>
      <c r="B22" s="3" t="s">
        <v>101</v>
      </c>
      <c r="C22" s="3" t="n">
        <v>112</v>
      </c>
      <c r="D22" s="3" t="n">
        <v>84</v>
      </c>
      <c r="E22" s="3" t="n">
        <v>25</v>
      </c>
      <c r="F22" s="3" t="n">
        <v>5</v>
      </c>
      <c r="G22" s="1" t="n">
        <f aca="false">IF(OR(B22="conv",B22="pw",B22="head",B22="mm"),-INT(-C22/config!$B$2)*-INT(-D22/config!$B$2),IF(B22="dw",1,""))</f>
        <v>4</v>
      </c>
      <c r="H22" s="1" t="n">
        <f aca="false">IF(OR(B22="conv",B22="pw",B22="head",B22="mm",B22="dw"),C22*D22,"")</f>
        <v>9408</v>
      </c>
      <c r="I22" s="1" t="n">
        <f aca="false">IF(OR(B22="conv",B22="pw",B22="head",B22="mm",B22="dw",B22="pool"),C22,"")</f>
        <v>112</v>
      </c>
      <c r="J22" s="1" t="n">
        <f aca="false">IF(OR(B22="conv",B22="pw",B22="mm",B22="dw"),I22*E22*F22,0)</f>
        <v>14000</v>
      </c>
      <c r="K22" s="1" t="n">
        <f aca="false">IF(OR(B22="conv",B22="pw",B22="dw",B22="head"),C22,0)</f>
        <v>112</v>
      </c>
      <c r="L22" s="1" t="n">
        <f aca="false">IF(B22="dw",I22*config!$B$6+config!$B$16*config!$B$5+K22+config!$B$9,IF(B22="pool",I22*2+config!$B$9,IF(B22="dac",C22*config!$B$12,IF(B22="adc",C22*config!$B$13,IF(OR(B22="conv",B22="pw"),G22*config!$B$7+K22+config!$B$9,IF(B22="head",G22*config!$B$7+K22,""))))))</f>
        <v>3204</v>
      </c>
      <c r="M22" s="1" t="n">
        <v>0</v>
      </c>
      <c r="N22" s="1" t="n">
        <f aca="false">IF(OR(B22="conv",B22="pw",B22="head",B22="mm",B22="dw"),H22*2*'micronet-s'!$B$16*(1+config!$B$4),0)</f>
        <v>90316.8</v>
      </c>
      <c r="O22" s="1" t="n">
        <f aca="false">IF(OR(B22="conv",B22="pw",B22="dw",B22="pool"),config!$B$10,IF(B22="adc",C22*config!$B$14,0))</f>
        <v>2</v>
      </c>
      <c r="P22" s="1" t="n">
        <f aca="false">IF(OR(B22="conv",B22="pw",B22="dw",B22="pool"),J22*2+config!$B$11,0)</f>
        <v>28001</v>
      </c>
      <c r="Q22" s="1" t="n">
        <f aca="false">IF(OR(B22="conv",B22="pw",B22="dw",B22="head"),G22*2*config!$B$2+I22*10,0)</f>
        <v>1632</v>
      </c>
    </row>
    <row r="23" customFormat="false" ht="15" hidden="false" customHeight="false" outlineLevel="0" collapsed="false">
      <c r="A23" s="3" t="s">
        <v>102</v>
      </c>
      <c r="B23" s="3" t="s">
        <v>99</v>
      </c>
      <c r="C23" s="3" t="n">
        <v>112</v>
      </c>
      <c r="D23" s="3" t="n">
        <v>9</v>
      </c>
      <c r="E23" s="3" t="n">
        <v>25</v>
      </c>
      <c r="F23" s="3" t="n">
        <v>5</v>
      </c>
      <c r="G23" s="1" t="n">
        <f aca="false">IF(OR(B23="conv",B23="pw",B23="head",B23="mm"),-INT(-C23/config!$B$2)*-INT(-D23/config!$B$2),IF(B23="dw",1,""))</f>
        <v>1</v>
      </c>
      <c r="H23" s="1" t="n">
        <f aca="false">IF(OR(B23="conv",B23="pw",B23="head",B23="mm",B23="dw"),C23*D23,"")</f>
        <v>1008</v>
      </c>
      <c r="I23" s="1" t="n">
        <f aca="false">IF(OR(B23="conv",B23="pw",B23="head",B23="mm",B23="dw",B23="pool"),C23,"")</f>
        <v>112</v>
      </c>
      <c r="J23" s="1" t="n">
        <f aca="false">IF(OR(B23="conv",B23="pw",B23="mm",B23="dw"),I23*E23*F23,0)</f>
        <v>14000</v>
      </c>
      <c r="K23" s="1" t="n">
        <f aca="false">IF(OR(B23="conv",B23="pw",B23="dw",B23="head"),C23,0)</f>
        <v>112</v>
      </c>
      <c r="L23" s="1" t="n">
        <f aca="false">IF(B23="dw",I23*config!$B$6+config!$B$16*config!$B$5+K23+config!$B$9,IF(B23="pool",I23*2+config!$B$9,IF(B23="dac",C23*config!$B$12,IF(B23="adc",C23*config!$B$13,IF(OR(B23="conv",B23="pw"),G23*config!$B$7+K23+config!$B$9,IF(B23="head",G23*config!$B$7+K23,""))))))</f>
        <v>1270</v>
      </c>
      <c r="M23" s="1" t="n">
        <v>0</v>
      </c>
      <c r="N23" s="1" t="n">
        <f aca="false">IF(OR(B23="conv",B23="pw",B23="head",B23="mm",B23="dw"),H23*2*'micronet-s'!$B$16*(1+config!$B$4),0)</f>
        <v>9676.8</v>
      </c>
      <c r="O23" s="1" t="n">
        <f aca="false">IF(OR(B23="conv",B23="pw",B23="dw",B23="pool"),config!$B$10,IF(B23="adc",C23*config!$B$14,0))</f>
        <v>2</v>
      </c>
      <c r="P23" s="1" t="n">
        <f aca="false">IF(OR(B23="conv",B23="pw",B23="dw",B23="pool"),J23*2+config!$B$11,0)</f>
        <v>28001</v>
      </c>
      <c r="Q23" s="1" t="n">
        <f aca="false">IF(OR(B23="conv",B23="pw",B23="dw",B23="head"),G23*2*config!$B$2+I23*10,0)</f>
        <v>1248</v>
      </c>
    </row>
    <row r="24" customFormat="false" ht="15" hidden="false" customHeight="false" outlineLevel="0" collapsed="false">
      <c r="A24" s="3" t="s">
        <v>103</v>
      </c>
      <c r="B24" s="3" t="s">
        <v>101</v>
      </c>
      <c r="C24" s="3" t="n">
        <v>84</v>
      </c>
      <c r="D24" s="3" t="n">
        <v>112</v>
      </c>
      <c r="E24" s="3" t="n">
        <v>25</v>
      </c>
      <c r="F24" s="3" t="n">
        <v>5</v>
      </c>
      <c r="G24" s="1" t="n">
        <f aca="false">IF(OR(B24="conv",B24="pw",B24="head",B24="mm"),-INT(-C24/config!$B$2)*-INT(-D24/config!$B$2),IF(B24="dw",1,""))</f>
        <v>4</v>
      </c>
      <c r="H24" s="1" t="n">
        <f aca="false">IF(OR(B24="conv",B24="pw",B24="head",B24="mm",B24="dw"),C24*D24,"")</f>
        <v>9408</v>
      </c>
      <c r="I24" s="1" t="n">
        <f aca="false">IF(OR(B24="conv",B24="pw",B24="head",B24="mm",B24="dw",B24="pool"),C24,"")</f>
        <v>84</v>
      </c>
      <c r="J24" s="1" t="n">
        <f aca="false">IF(OR(B24="conv",B24="pw",B24="mm",B24="dw"),I24*E24*F24,0)</f>
        <v>10500</v>
      </c>
      <c r="K24" s="1" t="n">
        <f aca="false">IF(OR(B24="conv",B24="pw",B24="dw",B24="head"),C24,0)</f>
        <v>84</v>
      </c>
      <c r="L24" s="1" t="n">
        <f aca="false">IF(B24="dw",I24*config!$B$6+config!$B$16*config!$B$5+K24+config!$B$9,IF(B24="pool",I24*2+config!$B$9,IF(B24="dac",C24*config!$B$12,IF(B24="adc",C24*config!$B$13,IF(OR(B24="conv",B24="pw"),G24*config!$B$7+K24+config!$B$9,IF(B24="head",G24*config!$B$7+K24,""))))))</f>
        <v>3176</v>
      </c>
      <c r="M24" s="1" t="n">
        <v>0</v>
      </c>
      <c r="N24" s="1" t="n">
        <f aca="false">IF(OR(B24="conv",B24="pw",B24="head",B24="mm",B24="dw"),H24*2*'micronet-s'!$B$16*(1+config!$B$4),0)</f>
        <v>90316.8</v>
      </c>
      <c r="O24" s="1" t="n">
        <f aca="false">IF(OR(B24="conv",B24="pw",B24="dw",B24="pool"),config!$B$10,IF(B24="adc",C24*config!$B$14,0))</f>
        <v>2</v>
      </c>
      <c r="P24" s="1" t="n">
        <f aca="false">IF(OR(B24="conv",B24="pw",B24="dw",B24="pool"),J24*2+config!$B$11,0)</f>
        <v>21001</v>
      </c>
      <c r="Q24" s="1" t="n">
        <f aca="false">IF(OR(B24="conv",B24="pw",B24="dw",B24="head"),G24*2*config!$B$2+I24*10,0)</f>
        <v>1352</v>
      </c>
    </row>
    <row r="25" customFormat="false" ht="15" hidden="false" customHeight="false" outlineLevel="0" collapsed="false">
      <c r="A25" s="3" t="s">
        <v>104</v>
      </c>
      <c r="B25" s="3" t="s">
        <v>99</v>
      </c>
      <c r="C25" s="3" t="n">
        <v>84</v>
      </c>
      <c r="D25" s="3" t="n">
        <v>9</v>
      </c>
      <c r="E25" s="3" t="n">
        <v>25</v>
      </c>
      <c r="F25" s="3" t="n">
        <v>5</v>
      </c>
      <c r="G25" s="1" t="n">
        <f aca="false">IF(OR(B25="conv",B25="pw",B25="head",B25="mm"),-INT(-C25/config!$B$2)*-INT(-D25/config!$B$2),IF(B25="dw",1,""))</f>
        <v>1</v>
      </c>
      <c r="H25" s="1" t="n">
        <f aca="false">IF(OR(B25="conv",B25="pw",B25="head",B25="mm",B25="dw"),C25*D25,"")</f>
        <v>756</v>
      </c>
      <c r="I25" s="1" t="n">
        <f aca="false">IF(OR(B25="conv",B25="pw",B25="head",B25="mm",B25="dw",B25="pool"),C25,"")</f>
        <v>84</v>
      </c>
      <c r="J25" s="1" t="n">
        <f aca="false">IF(OR(B25="conv",B25="pw",B25="mm",B25="dw"),I25*E25*F25,0)</f>
        <v>10500</v>
      </c>
      <c r="K25" s="1" t="n">
        <f aca="false">IF(OR(B25="conv",B25="pw",B25="dw",B25="head"),C25,0)</f>
        <v>84</v>
      </c>
      <c r="L25" s="1" t="n">
        <f aca="false">IF(B25="dw",I25*config!$B$6+config!$B$16*config!$B$5+K25+config!$B$9,IF(B25="pool",I25*2+config!$B$9,IF(B25="dac",C25*config!$B$12,IF(B25="adc",C25*config!$B$13,IF(OR(B25="conv",B25="pw"),G25*config!$B$7+K25+config!$B$9,IF(B25="head",G25*config!$B$7+K25,""))))))</f>
        <v>962</v>
      </c>
      <c r="M25" s="1" t="n">
        <v>0</v>
      </c>
      <c r="N25" s="1" t="n">
        <f aca="false">IF(OR(B25="conv",B25="pw",B25="head",B25="mm",B25="dw"),H25*2*'micronet-s'!$B$16*(1+config!$B$4),0)</f>
        <v>7257.6</v>
      </c>
      <c r="O25" s="1" t="n">
        <f aca="false">IF(OR(B25="conv",B25="pw",B25="dw",B25="pool"),config!$B$10,IF(B25="adc",C25*config!$B$14,0))</f>
        <v>2</v>
      </c>
      <c r="P25" s="1" t="n">
        <f aca="false">IF(OR(B25="conv",B25="pw",B25="dw",B25="pool"),J25*2+config!$B$11,0)</f>
        <v>21001</v>
      </c>
      <c r="Q25" s="1" t="n">
        <f aca="false">IF(OR(B25="conv",B25="pw",B25="dw",B25="head"),G25*2*config!$B$2+I25*10,0)</f>
        <v>968</v>
      </c>
    </row>
    <row r="26" customFormat="false" ht="15" hidden="false" customHeight="false" outlineLevel="0" collapsed="false">
      <c r="A26" s="3" t="s">
        <v>105</v>
      </c>
      <c r="B26" s="3" t="s">
        <v>101</v>
      </c>
      <c r="C26" s="3" t="n">
        <v>84</v>
      </c>
      <c r="D26" s="3" t="n">
        <v>84</v>
      </c>
      <c r="E26" s="3" t="n">
        <v>25</v>
      </c>
      <c r="F26" s="3" t="n">
        <v>5</v>
      </c>
      <c r="G26" s="1" t="n">
        <f aca="false">IF(OR(B26="conv",B26="pw",B26="head",B26="mm"),-INT(-C26/config!$B$2)*-INT(-D26/config!$B$2),IF(B26="dw",1,""))</f>
        <v>4</v>
      </c>
      <c r="H26" s="1" t="n">
        <f aca="false">IF(OR(B26="conv",B26="pw",B26="head",B26="mm",B26="dw"),C26*D26,"")</f>
        <v>7056</v>
      </c>
      <c r="I26" s="1" t="n">
        <f aca="false">IF(OR(B26="conv",B26="pw",B26="head",B26="mm",B26="dw",B26="pool"),C26,"")</f>
        <v>84</v>
      </c>
      <c r="J26" s="1" t="n">
        <f aca="false">IF(OR(B26="conv",B26="pw",B26="mm",B26="dw"),I26*E26*F26,0)</f>
        <v>10500</v>
      </c>
      <c r="K26" s="1" t="n">
        <f aca="false">IF(OR(B26="conv",B26="pw",B26="dw",B26="head"),C26,0)</f>
        <v>84</v>
      </c>
      <c r="L26" s="1" t="n">
        <f aca="false">IF(B26="dw",I26*config!$B$6+config!$B$16*config!$B$5+K26+config!$B$9,IF(B26="pool",I26*2+config!$B$9,IF(B26="dac",C26*config!$B$12,IF(B26="adc",C26*config!$B$13,IF(OR(B26="conv",B26="pw"),G26*config!$B$7+K26+config!$B$9,IF(B26="head",G26*config!$B$7+K26,""))))))</f>
        <v>3176</v>
      </c>
      <c r="M26" s="1" t="n">
        <v>0</v>
      </c>
      <c r="N26" s="1" t="n">
        <f aca="false">IF(OR(B26="conv",B26="pw",B26="head",B26="mm",B26="dw"),H26*2*'micronet-s'!$B$16*(1+config!$B$4),0)</f>
        <v>67737.6</v>
      </c>
      <c r="O26" s="1" t="n">
        <f aca="false">IF(OR(B26="conv",B26="pw",B26="dw",B26="pool"),config!$B$10,IF(B26="adc",C26*config!$B$14,0))</f>
        <v>2</v>
      </c>
      <c r="P26" s="1" t="n">
        <f aca="false">IF(OR(B26="conv",B26="pw",B26="dw",B26="pool"),J26*2+config!$B$11,0)</f>
        <v>21001</v>
      </c>
      <c r="Q26" s="1" t="n">
        <f aca="false">IF(OR(B26="conv",B26="pw",B26="dw",B26="head"),G26*2*config!$B$2+I26*10,0)</f>
        <v>1352</v>
      </c>
    </row>
    <row r="27" customFormat="false" ht="15" hidden="false" customHeight="false" outlineLevel="0" collapsed="false">
      <c r="A27" s="3" t="s">
        <v>106</v>
      </c>
      <c r="B27" s="3" t="s">
        <v>99</v>
      </c>
      <c r="C27" s="3" t="n">
        <v>84</v>
      </c>
      <c r="D27" s="3" t="n">
        <v>9</v>
      </c>
      <c r="E27" s="3" t="n">
        <v>25</v>
      </c>
      <c r="F27" s="3" t="n">
        <v>5</v>
      </c>
      <c r="G27" s="1" t="n">
        <f aca="false">IF(OR(B27="conv",B27="pw",B27="head",B27="mm"),-INT(-C27/config!$B$2)*-INT(-D27/config!$B$2),IF(B27="dw",1,""))</f>
        <v>1</v>
      </c>
      <c r="H27" s="1" t="n">
        <f aca="false">IF(OR(B27="conv",B27="pw",B27="head",B27="mm",B27="dw"),C27*D27,"")</f>
        <v>756</v>
      </c>
      <c r="I27" s="1" t="n">
        <f aca="false">IF(OR(B27="conv",B27="pw",B27="head",B27="mm",B27="dw",B27="pool"),C27,"")</f>
        <v>84</v>
      </c>
      <c r="J27" s="1" t="n">
        <f aca="false">IF(OR(B27="conv",B27="pw",B27="mm",B27="dw"),I27*E27*F27,0)</f>
        <v>10500</v>
      </c>
      <c r="K27" s="1" t="n">
        <f aca="false">IF(OR(B27="conv",B27="pw",B27="dw",B27="head"),C27,0)</f>
        <v>84</v>
      </c>
      <c r="L27" s="1" t="n">
        <f aca="false">IF(B27="dw",I27*config!$B$6+config!$B$16*config!$B$5+K27+config!$B$9,IF(B27="pool",I27*2+config!$B$9,IF(B27="dac",C27*config!$B$12,IF(B27="adc",C27*config!$B$13,IF(OR(B27="conv",B27="pw"),G27*config!$B$7+K27+config!$B$9,IF(B27="head",G27*config!$B$7+K27,""))))))</f>
        <v>962</v>
      </c>
      <c r="M27" s="1" t="n">
        <v>0</v>
      </c>
      <c r="N27" s="1" t="n">
        <f aca="false">IF(OR(B27="conv",B27="pw",B27="head",B27="mm",B27="dw"),H27*2*'micronet-s'!$B$16*(1+config!$B$4),0)</f>
        <v>7257.6</v>
      </c>
      <c r="O27" s="1" t="n">
        <f aca="false">IF(OR(B27="conv",B27="pw",B27="dw",B27="pool"),config!$B$10,IF(B27="adc",C27*config!$B$14,0))</f>
        <v>2</v>
      </c>
      <c r="P27" s="1" t="n">
        <f aca="false">IF(OR(B27="conv",B27="pw",B27="dw",B27="pool"),J27*2+config!$B$11,0)</f>
        <v>21001</v>
      </c>
      <c r="Q27" s="1" t="n">
        <f aca="false">IF(OR(B27="conv",B27="pw",B27="dw",B27="head"),G27*2*config!$B$2+I27*10,0)</f>
        <v>968</v>
      </c>
    </row>
    <row r="28" customFormat="false" ht="15" hidden="false" customHeight="false" outlineLevel="0" collapsed="false">
      <c r="A28" s="3" t="s">
        <v>107</v>
      </c>
      <c r="B28" s="3" t="s">
        <v>101</v>
      </c>
      <c r="C28" s="3" t="n">
        <v>84</v>
      </c>
      <c r="D28" s="3" t="n">
        <v>84</v>
      </c>
      <c r="E28" s="3" t="n">
        <v>25</v>
      </c>
      <c r="F28" s="3" t="n">
        <v>5</v>
      </c>
      <c r="G28" s="1" t="n">
        <f aca="false">IF(OR(B28="conv",B28="pw",B28="head",B28="mm"),-INT(-C28/config!$B$2)*-INT(-D28/config!$B$2),IF(B28="dw",1,""))</f>
        <v>4</v>
      </c>
      <c r="H28" s="1" t="n">
        <f aca="false">IF(OR(B28="conv",B28="pw",B28="head",B28="mm",B28="dw"),C28*D28,"")</f>
        <v>7056</v>
      </c>
      <c r="I28" s="1" t="n">
        <f aca="false">IF(OR(B28="conv",B28="pw",B28="head",B28="mm",B28="dw",B28="pool"),C28,"")</f>
        <v>84</v>
      </c>
      <c r="J28" s="1" t="n">
        <f aca="false">IF(OR(B28="conv",B28="pw",B28="mm",B28="dw"),I28*E28*F28,0)</f>
        <v>10500</v>
      </c>
      <c r="K28" s="1" t="n">
        <f aca="false">IF(OR(B28="conv",B28="pw",B28="dw",B28="head"),C28,0)</f>
        <v>84</v>
      </c>
      <c r="L28" s="1" t="n">
        <f aca="false">IF(B28="dw",I28*config!$B$6+config!$B$16*config!$B$5+K28+config!$B$9,IF(B28="pool",I28*2+config!$B$9,IF(B28="dac",C28*config!$B$12,IF(B28="adc",C28*config!$B$13,IF(OR(B28="conv",B28="pw"),G28*config!$B$7+K28+config!$B$9,IF(B28="head",G28*config!$B$7+K28,""))))))</f>
        <v>3176</v>
      </c>
      <c r="M28" s="1" t="n">
        <v>0</v>
      </c>
      <c r="N28" s="1" t="n">
        <f aca="false">IF(OR(B28="conv",B28="pw",B28="head",B28="mm",B28="dw"),H28*2*'micronet-s'!$B$16*(1+config!$B$4),0)</f>
        <v>67737.6</v>
      </c>
      <c r="O28" s="1" t="n">
        <f aca="false">IF(OR(B28="conv",B28="pw",B28="dw",B28="pool"),config!$B$10,IF(B28="adc",C28*config!$B$14,0))</f>
        <v>2</v>
      </c>
      <c r="P28" s="1" t="n">
        <f aca="false">IF(OR(B28="conv",B28="pw",B28="dw",B28="pool"),J28*2+config!$B$11,0)</f>
        <v>21001</v>
      </c>
      <c r="Q28" s="1" t="n">
        <f aca="false">IF(OR(B28="conv",B28="pw",B28="dw",B28="head"),G28*2*config!$B$2+I28*10,0)</f>
        <v>1352</v>
      </c>
    </row>
    <row r="29" customFormat="false" ht="15" hidden="false" customHeight="false" outlineLevel="0" collapsed="false">
      <c r="A29" s="3" t="s">
        <v>108</v>
      </c>
      <c r="B29" s="3" t="s">
        <v>99</v>
      </c>
      <c r="C29" s="3" t="n">
        <v>84</v>
      </c>
      <c r="D29" s="3" t="n">
        <v>9</v>
      </c>
      <c r="E29" s="3" t="n">
        <v>25</v>
      </c>
      <c r="F29" s="3" t="n">
        <v>5</v>
      </c>
      <c r="G29" s="1" t="n">
        <f aca="false">IF(OR(B29="conv",B29="pw",B29="head",B29="mm"),-INT(-C29/config!$B$2)*-INT(-D29/config!$B$2),IF(B29="dw",1,""))</f>
        <v>1</v>
      </c>
      <c r="H29" s="1" t="n">
        <f aca="false">IF(OR(B29="conv",B29="pw",B29="head",B29="mm",B29="dw"),C29*D29,"")</f>
        <v>756</v>
      </c>
      <c r="I29" s="1" t="n">
        <f aca="false">IF(OR(B29="conv",B29="pw",B29="head",B29="mm",B29="dw",B29="pool"),C29,"")</f>
        <v>84</v>
      </c>
      <c r="J29" s="1" t="n">
        <f aca="false">IF(OR(B29="conv",B29="pw",B29="mm",B29="dw"),I29*E29*F29,0)</f>
        <v>10500</v>
      </c>
      <c r="K29" s="1" t="n">
        <f aca="false">IF(OR(B29="conv",B29="pw",B29="dw",B29="head"),C29,0)</f>
        <v>84</v>
      </c>
      <c r="L29" s="1" t="n">
        <f aca="false">IF(B29="dw",I29*config!$B$6+config!$B$16*config!$B$5+K29+config!$B$9,IF(B29="pool",I29*2+config!$B$9,IF(B29="dac",C29*config!$B$12,IF(B29="adc",C29*config!$B$13,IF(OR(B29="conv",B29="pw"),G29*config!$B$7+K29+config!$B$9,IF(B29="head",G29*config!$B$7+K29,""))))))</f>
        <v>962</v>
      </c>
      <c r="M29" s="1" t="n">
        <v>0</v>
      </c>
      <c r="N29" s="1" t="n">
        <f aca="false">IF(OR(B29="conv",B29="pw",B29="head",B29="mm",B29="dw"),H29*2*'micronet-s'!$B$16*(1+config!$B$4),0)</f>
        <v>7257.6</v>
      </c>
      <c r="O29" s="1" t="n">
        <f aca="false">IF(OR(B29="conv",B29="pw",B29="dw",B29="pool"),config!$B$10,IF(B29="adc",C29*config!$B$14,0))</f>
        <v>2</v>
      </c>
      <c r="P29" s="1" t="n">
        <f aca="false">IF(OR(B29="conv",B29="pw",B29="dw",B29="pool"),J29*2+config!$B$11,0)</f>
        <v>21001</v>
      </c>
      <c r="Q29" s="1" t="n">
        <f aca="false">IF(OR(B29="conv",B29="pw",B29="dw",B29="head"),G29*2*config!$B$2+I29*10,0)</f>
        <v>968</v>
      </c>
    </row>
    <row r="30" customFormat="false" ht="15" hidden="false" customHeight="false" outlineLevel="0" collapsed="false">
      <c r="A30" s="3" t="s">
        <v>109</v>
      </c>
      <c r="B30" s="3" t="s">
        <v>101</v>
      </c>
      <c r="C30" s="3" t="n">
        <v>196</v>
      </c>
      <c r="D30" s="3" t="n">
        <v>84</v>
      </c>
      <c r="E30" s="3" t="n">
        <v>25</v>
      </c>
      <c r="F30" s="3" t="n">
        <v>5</v>
      </c>
      <c r="G30" s="1" t="n">
        <f aca="false">IF(OR(B30="conv",B30="pw",B30="head",B30="mm"),-INT(-C30/config!$B$2)*-INT(-D30/config!$B$2),IF(B30="dw",1,""))</f>
        <v>8</v>
      </c>
      <c r="H30" s="1" t="n">
        <f aca="false">IF(OR(B30="conv",B30="pw",B30="head",B30="mm",B30="dw"),C30*D30,"")</f>
        <v>16464</v>
      </c>
      <c r="I30" s="1" t="n">
        <f aca="false">IF(OR(B30="conv",B30="pw",B30="head",B30="mm",B30="dw",B30="pool"),C30,"")</f>
        <v>196</v>
      </c>
      <c r="J30" s="1" t="n">
        <f aca="false">IF(OR(B30="conv",B30="pw",B30="mm",B30="dw"),I30*E30*F30,0)</f>
        <v>24500</v>
      </c>
      <c r="K30" s="1" t="n">
        <f aca="false">IF(OR(B30="conv",B30="pw",B30="dw",B30="head"),C30,0)</f>
        <v>196</v>
      </c>
      <c r="L30" s="1" t="n">
        <f aca="false">IF(B30="dw",I30*config!$B$6+config!$B$16*config!$B$5+K30+config!$B$9,IF(B30="pool",I30*2+config!$B$9,IF(B30="dac",C30*config!$B$12,IF(B30="adc",C30*config!$B$13,IF(OR(B30="conv",B30="pw"),G30*config!$B$7+K30+config!$B$9,IF(B30="head",G30*config!$B$7+K30,""))))))</f>
        <v>6360</v>
      </c>
      <c r="M30" s="1" t="n">
        <v>0</v>
      </c>
      <c r="N30" s="1" t="n">
        <f aca="false">IF(OR(B30="conv",B30="pw",B30="head",B30="mm",B30="dw"),H30*2*'micronet-s'!$B$16*(1+config!$B$4),0)</f>
        <v>158054.4</v>
      </c>
      <c r="O30" s="1" t="n">
        <f aca="false">IF(OR(B30="conv",B30="pw",B30="dw",B30="pool"),config!$B$10,IF(B30="adc",C30*config!$B$14,0))</f>
        <v>2</v>
      </c>
      <c r="P30" s="1" t="n">
        <f aca="false">IF(OR(B30="conv",B30="pw",B30="dw",B30="pool"),J30*2+config!$B$11,0)</f>
        <v>49001</v>
      </c>
      <c r="Q30" s="1" t="n">
        <f aca="false">IF(OR(B30="conv",B30="pw",B30="dw",B30="head"),G30*2*config!$B$2+I30*10,0)</f>
        <v>2984</v>
      </c>
    </row>
    <row r="31" customFormat="false" ht="15" hidden="false" customHeight="false" outlineLevel="0" collapsed="false">
      <c r="A31" s="3" t="s">
        <v>110</v>
      </c>
      <c r="B31" s="3" t="s">
        <v>111</v>
      </c>
      <c r="C31" s="3" t="n">
        <v>196</v>
      </c>
      <c r="E31" s="3" t="n">
        <v>1</v>
      </c>
      <c r="F31" s="3" t="n">
        <v>1</v>
      </c>
      <c r="G31" s="1" t="str">
        <f aca="false">IF(OR(B31="conv",B31="pw",B31="head",B31="mm"),-INT(-C31/config!$B$2)*-INT(-D31/config!$B$2),IF(B31="dw",1,""))</f>
        <v/>
      </c>
      <c r="H31" s="1" t="str">
        <f aca="false">IF(OR(B31="conv",B31="pw",B31="head",B31="mm",B31="dw"),C31*D31,"")</f>
        <v/>
      </c>
      <c r="I31" s="1" t="n">
        <f aca="false">IF(OR(B31="conv",B31="pw",B31="head",B31="mm",B31="dw",B31="pool"),C31,"")</f>
        <v>196</v>
      </c>
      <c r="J31" s="1" t="n">
        <f aca="false">IF(OR(B31="conv",B31="pw",B31="mm",B31="dw"),I31*E31*F31,0)</f>
        <v>0</v>
      </c>
      <c r="K31" s="1" t="n">
        <f aca="false">IF(OR(B31="conv",B31="pw",B31="dw",B31="head"),C31,0)</f>
        <v>0</v>
      </c>
      <c r="L31" s="1" t="n">
        <f aca="false">IF(B31="dw",I31*config!$B$6+config!$B$16*config!$B$5+K31+config!$B$9,IF(B31="pool",I31*2+config!$B$9,IF(B31="dac",C31*config!$B$12,IF(B31="adc",C31*config!$B$13,IF(OR(B31="conv",B31="pw"),G31*config!$B$7+K31+config!$B$9,IF(B31="head",G31*config!$B$7+K31,""))))))</f>
        <v>412</v>
      </c>
      <c r="M31" s="1" t="n">
        <v>0</v>
      </c>
      <c r="N31" s="1" t="n">
        <f aca="false">IF(OR(B31="conv",B31="pw",B31="head",B31="mm",B31="dw"),H31*2*'micronet-s'!$B$16*(1+config!$B$4),0)</f>
        <v>0</v>
      </c>
      <c r="O31" s="1" t="n">
        <f aca="false">IF(OR(B31="conv",B31="pw",B31="dw",B31="pool"),config!$B$10,IF(B31="adc",C31*config!$B$14,0))</f>
        <v>2</v>
      </c>
      <c r="P31" s="1" t="n">
        <f aca="false">IF(OR(B31="conv",B31="pw",B31="dw",B31="pool"),J31*2+config!$B$11,0)</f>
        <v>1</v>
      </c>
      <c r="Q31" s="1" t="n">
        <f aca="false">IF(OR(B31="conv",B31="pw",B31="dw",B31="head"),G31*2*config!$B$2+I31*10,0)</f>
        <v>0</v>
      </c>
    </row>
    <row r="32" customFormat="false" ht="15" hidden="false" customHeight="false" outlineLevel="0" collapsed="false">
      <c r="A32" s="3" t="s">
        <v>112</v>
      </c>
      <c r="B32" s="3" t="s">
        <v>113</v>
      </c>
      <c r="C32" s="3" t="n">
        <v>12</v>
      </c>
      <c r="D32" s="3" t="n">
        <v>196</v>
      </c>
      <c r="E32" s="3" t="n">
        <v>1</v>
      </c>
      <c r="F32" s="3" t="n">
        <v>1</v>
      </c>
      <c r="G32" s="1" t="n">
        <f aca="false">IF(OR(B32="conv",B32="pw",B32="head",B32="mm"),-INT(-C32/config!$B$2)*-INT(-D32/config!$B$2),IF(B32="dw",1,""))</f>
        <v>4</v>
      </c>
      <c r="H32" s="1" t="n">
        <f aca="false">IF(OR(B32="conv",B32="pw",B32="head",B32="mm",B32="dw"),C32*D32,"")</f>
        <v>2352</v>
      </c>
      <c r="I32" s="1" t="n">
        <f aca="false">IF(OR(B32="conv",B32="pw",B32="head",B32="mm",B32="dw",B32="pool"),C32,"")</f>
        <v>12</v>
      </c>
      <c r="J32" s="1" t="n">
        <f aca="false">IF(OR(B32="conv",B32="pw",B32="mm",B32="dw"),I32*E32*F32,0)</f>
        <v>0</v>
      </c>
      <c r="K32" s="1" t="n">
        <f aca="false">IF(OR(B32="conv",B32="pw",B32="dw",B32="head"),C32,0)</f>
        <v>12</v>
      </c>
      <c r="L32" s="1" t="n">
        <f aca="false">IF(B32="dw",I32*config!$B$6+config!$B$16*config!$B$5+K32+config!$B$9,IF(B32="pool",I32*2+config!$B$9,IF(B32="dac",C32*config!$B$12,IF(B32="adc",C32*config!$B$13,IF(OR(B32="conv",B32="pw"),G32*config!$B$7+K32+config!$B$9,IF(B32="head",G32*config!$B$7+K32,""))))))</f>
        <v>3084</v>
      </c>
      <c r="M32" s="1" t="n">
        <v>0</v>
      </c>
      <c r="N32" s="1" t="n">
        <f aca="false">IF(OR(B32="conv",B32="pw",B32="head",B32="mm",B32="dw"),H32*2*'micronet-s'!$B$16*(1+config!$B$4),0)</f>
        <v>22579.2</v>
      </c>
      <c r="O32" s="1" t="n">
        <f aca="false">IF(OR(B32="conv",B32="pw",B32="dw",B32="pool"),config!$B$10,IF(B32="adc",C32*config!$B$14,0))</f>
        <v>0</v>
      </c>
      <c r="P32" s="1" t="n">
        <f aca="false">IF(OR(B32="conv",B32="pw",B32="dw",B32="pool"),J32*2+config!$B$11,0)</f>
        <v>0</v>
      </c>
      <c r="Q32" s="1" t="n">
        <f aca="false">IF(OR(B32="conv",B32="pw",B32="dw",B32="head"),G32*2*config!$B$2+I32*10,0)</f>
        <v>632</v>
      </c>
    </row>
    <row r="33" customFormat="false" ht="15" hidden="false" customHeight="false" outlineLevel="0" collapsed="false">
      <c r="A33" s="3" t="s">
        <v>114</v>
      </c>
      <c r="B33" s="3" t="s">
        <v>115</v>
      </c>
      <c r="C33" s="3" t="n">
        <v>490</v>
      </c>
      <c r="G33" s="1" t="str">
        <f aca="false">IF(OR(B33="conv",B33="pw",B33="head",B33="mm"),-INT(-C33/config!$B$2)*-INT(-D33/config!$B$2),IF(B33="dw",1,""))</f>
        <v/>
      </c>
      <c r="H33" s="1" t="str">
        <f aca="false">IF(OR(B33="conv",B33="pw",B33="head",B33="mm",B33="dw"),C33*D33,"")</f>
        <v/>
      </c>
      <c r="I33" s="1" t="str">
        <f aca="false">IF(OR(B33="conv",B33="pw",B33="head",B33="mm",B33="dw",B33="pool"),C33,"")</f>
        <v/>
      </c>
      <c r="J33" s="1" t="n">
        <f aca="false">IF(OR(B33="conv",B33="pw",B33="mm",B33="dw"),I33*E33*F33,0)</f>
        <v>0</v>
      </c>
      <c r="K33" s="1" t="n">
        <f aca="false">IF(OR(B33="conv",B33="pw",B33="dw",B33="head"),C33,0)</f>
        <v>0</v>
      </c>
      <c r="L33" s="1" t="n">
        <f aca="false">IF(B33="dw",I33*config!$B$6+config!$B$16*config!$B$5+K33+config!$B$9,IF(B33="pool",I33*2+config!$B$9,IF(B33="dac",C33*config!$B$12,IF(B33="adc",C33*config!$B$13,IF(OR(B33="conv",B33="pw"),G33*config!$B$7+K33+config!$B$9,IF(B33="head",G33*config!$B$7+K33,""))))))</f>
        <v>3920</v>
      </c>
      <c r="M33" s="1" t="n">
        <v>0</v>
      </c>
      <c r="N33" s="1" t="n">
        <f aca="false">IF(OR(B33="conv",B33="pw",B33="head",B33="mm",B33="dw"),H33*2*'micronet-s'!$B$16*(1+config!$B$4),0)</f>
        <v>0</v>
      </c>
      <c r="O33" s="1" t="n">
        <f aca="false">IF(OR(B33="conv",B33="pw",B33="dw",B33="pool"),config!$B$10,IF(B33="adc",C33*config!$B$14,0))</f>
        <v>0</v>
      </c>
      <c r="P33" s="1" t="n">
        <f aca="false">IF(OR(B33="conv",B33="pw",B33="dw",B33="pool"),J33*2+config!$B$11,0)</f>
        <v>0</v>
      </c>
      <c r="Q33" s="1" t="n">
        <f aca="false">IF(OR(B33="conv",B33="pw",B33="dw",B33="head"),G33*2*config!$B$2+I33*10,0)</f>
        <v>0</v>
      </c>
    </row>
    <row r="34" customFormat="false" ht="15" hidden="false" customHeight="false" outlineLevel="0" collapsed="false">
      <c r="A34" s="3" t="s">
        <v>116</v>
      </c>
      <c r="B34" s="3" t="s">
        <v>117</v>
      </c>
      <c r="C34" s="3" t="n">
        <v>12</v>
      </c>
      <c r="G34" s="1" t="str">
        <f aca="false">IF(OR(B34="conv",B34="pw",B34="head",B34="mm"),-INT(-C34/config!$B$2)*-INT(-D34/config!$B$2),IF(B34="dw",1,""))</f>
        <v/>
      </c>
      <c r="H34" s="1" t="str">
        <f aca="false">IF(OR(B34="conv",B34="pw",B34="head",B34="mm",B34="dw"),C34*D34,"")</f>
        <v/>
      </c>
      <c r="I34" s="1" t="str">
        <f aca="false">IF(OR(B34="conv",B34="pw",B34="head",B34="mm",B34="dw",B34="pool"),C34,"")</f>
        <v/>
      </c>
      <c r="J34" s="1" t="n">
        <f aca="false">IF(OR(B34="conv",B34="pw",B34="mm",B34="dw"),I34*E34*F34,0)</f>
        <v>0</v>
      </c>
      <c r="K34" s="1" t="n">
        <f aca="false">IF(OR(B34="conv",B34="pw",B34="dw",B34="head"),C34,0)</f>
        <v>0</v>
      </c>
      <c r="L34" s="1" t="n">
        <f aca="false">IF(B34="dw",I34*config!$B$6+config!$B$16*config!$B$5+K34+config!$B$9,IF(B34="pool",I34*2+config!$B$9,IF(B34="dac",C34*config!$B$12,IF(B34="adc",C34*config!$B$13,IF(OR(B34="conv",B34="pw"),G34*config!$B$7+K34+config!$B$9,IF(B34="head",G34*config!$B$7+K34,""))))))</f>
        <v>120</v>
      </c>
      <c r="M34" s="1" t="n">
        <v>0</v>
      </c>
      <c r="N34" s="1" t="n">
        <f aca="false">IF(OR(B34="conv",B34="pw",B34="head",B34="mm",B34="dw"),H34*2*'micronet-s'!$B$16*(1+config!$B$4),0)</f>
        <v>0</v>
      </c>
      <c r="O34" s="1" t="n">
        <f aca="false">IF(OR(B34="conv",B34="pw",B34="dw",B34="pool"),config!$B$10,IF(B34="adc",C34*config!$B$14,0))</f>
        <v>96</v>
      </c>
      <c r="P34" s="1" t="n">
        <f aca="false">IF(OR(B34="conv",B34="pw",B34="dw",B34="pool"),J34*2+config!$B$11,0)</f>
        <v>0</v>
      </c>
      <c r="Q34" s="1" t="n">
        <f aca="false">IF(OR(B34="conv",B34="pw",B34="dw",B34="head"),G34*2*config!$B$2+I34*10,0)</f>
        <v>0</v>
      </c>
    </row>
    <row r="35" customFormat="false" ht="15" hidden="false" customHeight="false" outlineLevel="0" collapsed="false">
      <c r="A35" s="1" t="s">
        <v>118</v>
      </c>
      <c r="B35" s="1" t="s">
        <v>119</v>
      </c>
      <c r="Q35" s="1" t="n">
        <f aca="false">SUM(J20:J34)+490+196+12</f>
        <v>167858</v>
      </c>
    </row>
    <row r="36" customFormat="false" ht="15" hidden="false" customHeight="false" outlineLevel="0" collapsed="false">
      <c r="A36" s="13" t="s">
        <v>77</v>
      </c>
      <c r="B36" s="13"/>
      <c r="C36" s="13"/>
      <c r="D36" s="13"/>
      <c r="E36" s="13"/>
      <c r="F36" s="13"/>
      <c r="G36" s="13" t="n">
        <f aca="false">SUM(G20:G35)</f>
        <v>35</v>
      </c>
      <c r="H36" s="13" t="n">
        <f aca="false">SUM(H20:H35)</f>
        <v>59136</v>
      </c>
      <c r="I36" s="13" t="n">
        <f aca="false">SUM(I20:I35)</f>
        <v>1300</v>
      </c>
      <c r="J36" s="13" t="n">
        <f aca="false">SUM(J20:J35)</f>
        <v>167160</v>
      </c>
      <c r="K36" s="13" t="n">
        <f aca="false">SUM(K20:K35)</f>
        <v>1104</v>
      </c>
      <c r="L36" s="13" t="n">
        <f aca="false">SUM(L20:L35)</f>
        <v>33386</v>
      </c>
      <c r="M36" s="13" t="n">
        <f aca="false">SUM(M20:M35)</f>
        <v>0</v>
      </c>
      <c r="N36" s="13" t="n">
        <f aca="false">SUM(N20:N35)</f>
        <v>567705.6</v>
      </c>
      <c r="O36" s="13" t="n">
        <f aca="false">SUM(O20:O35)</f>
        <v>120</v>
      </c>
      <c r="P36" s="13" t="n">
        <f aca="false">SUM(P20:P35)</f>
        <v>334332</v>
      </c>
      <c r="Q36" s="13" t="n">
        <f aca="false">SUM(Q20:Q35)</f>
        <v>183378</v>
      </c>
    </row>
    <row r="38" customFormat="false" ht="1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</row>
    <row r="39" customFormat="false" ht="1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</row>
    <row r="40" customFormat="false" ht="1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</row>
    <row r="41" customFormat="false" ht="1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7"/>
  <sheetViews>
    <sheetView showFormulas="false" showGridLines="true" showRowColHeaders="true" showZeros="true" rightToLeft="false" tabSelected="false" showOutlineSymbols="true" defaultGridColor="true" view="normal" topLeftCell="A19" colorId="64" zoomScale="75" zoomScaleNormal="75" zoomScalePageLayoutView="100" workbookViewId="0">
      <selection pane="topLeft" activeCell="A65" activeCellId="0" sqref="A6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4" min="4" style="1" width="11.5"/>
    <col collapsed="false" customWidth="true" hidden="false" outlineLevel="0" max="5" min="5" style="1" width="10.57"/>
    <col collapsed="false" customWidth="true" hidden="false" outlineLevel="0" max="6" min="6" style="1" width="15.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17" min="9" style="1" width="13"/>
    <col collapsed="false" customWidth="true" hidden="false" outlineLevel="0" max="16384" min="16384" style="0" width="11.53"/>
  </cols>
  <sheetData>
    <row r="1" customFormat="false" ht="17.35" hidden="false" customHeight="false" outlineLevel="0" collapsed="false">
      <c r="A1" s="4" t="s">
        <v>120</v>
      </c>
    </row>
    <row r="2" customFormat="false" ht="15" hidden="false" customHeight="false" outlineLevel="0" collapsed="false">
      <c r="A2" s="1" t="s">
        <v>121</v>
      </c>
    </row>
    <row r="4" customFormat="false" ht="15" hidden="false" customHeight="fals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0"/>
    </row>
    <row r="5" customFormat="false" ht="15" hidden="false" customHeight="false" outlineLevel="0" collapsed="false">
      <c r="A5" s="6" t="s">
        <v>122</v>
      </c>
      <c r="B5" s="6" t="n">
        <v>1</v>
      </c>
      <c r="C5" s="6" t="n">
        <v>32</v>
      </c>
      <c r="D5" s="6" t="n">
        <v>27</v>
      </c>
      <c r="E5" s="6" t="n">
        <f aca="false">B5*C5*D5</f>
        <v>864</v>
      </c>
      <c r="F5" s="0"/>
    </row>
    <row r="6" customFormat="false" ht="15" hidden="false" customHeight="false" outlineLevel="0" collapsed="false">
      <c r="A6" s="6" t="s">
        <v>123</v>
      </c>
      <c r="B6" s="6" t="n">
        <v>1</v>
      </c>
      <c r="C6" s="6" t="n">
        <v>32</v>
      </c>
      <c r="D6" s="6" t="n">
        <v>9</v>
      </c>
      <c r="E6" s="6" t="n">
        <f aca="false">B6*C6*D6</f>
        <v>288</v>
      </c>
      <c r="F6" s="0"/>
      <c r="I6" s="7" t="s">
        <v>64</v>
      </c>
      <c r="J6" s="8" t="s">
        <v>65</v>
      </c>
      <c r="K6" s="8" t="s">
        <v>66</v>
      </c>
    </row>
    <row r="7" customFormat="false" ht="15" hidden="false" customHeight="false" outlineLevel="0" collapsed="false">
      <c r="A7" s="6" t="s">
        <v>124</v>
      </c>
      <c r="B7" s="6" t="n">
        <v>1</v>
      </c>
      <c r="C7" s="6" t="n">
        <v>64</v>
      </c>
      <c r="D7" s="6" t="n">
        <v>32</v>
      </c>
      <c r="E7" s="6" t="n">
        <f aca="false">B7*C7*D7</f>
        <v>2048</v>
      </c>
      <c r="F7" s="0"/>
      <c r="I7" s="9" t="s">
        <v>68</v>
      </c>
      <c r="J7" s="10" t="n">
        <v>0.0112</v>
      </c>
      <c r="K7" s="10" t="n">
        <v>7E-005</v>
      </c>
    </row>
    <row r="8" customFormat="false" ht="15" hidden="false" customHeight="false" outlineLevel="0" collapsed="false">
      <c r="A8" s="6" t="s">
        <v>125</v>
      </c>
      <c r="B8" s="6" t="n">
        <v>1</v>
      </c>
      <c r="C8" s="6" t="n">
        <v>64</v>
      </c>
      <c r="D8" s="6" t="n">
        <v>9</v>
      </c>
      <c r="E8" s="6" t="n">
        <f aca="false">B8*C8*D8</f>
        <v>576</v>
      </c>
      <c r="F8" s="0"/>
      <c r="I8" s="9" t="s">
        <v>70</v>
      </c>
      <c r="J8" s="10" t="s">
        <v>126</v>
      </c>
      <c r="K8" s="10" t="s">
        <v>127</v>
      </c>
    </row>
    <row r="9" customFormat="false" ht="15" hidden="false" customHeight="false" outlineLevel="0" collapsed="false">
      <c r="A9" s="6" t="s">
        <v>128</v>
      </c>
      <c r="B9" s="6" t="n">
        <v>1</v>
      </c>
      <c r="C9" s="6" t="n">
        <v>128</v>
      </c>
      <c r="D9" s="6" t="n">
        <v>64</v>
      </c>
      <c r="E9" s="6" t="n">
        <f aca="false">B9*C9*D9</f>
        <v>8192</v>
      </c>
      <c r="F9" s="0"/>
    </row>
    <row r="10" customFormat="false" ht="15" hidden="false" customHeight="false" outlineLevel="0" collapsed="false">
      <c r="A10" s="6" t="s">
        <v>129</v>
      </c>
      <c r="B10" s="6" t="n">
        <v>1</v>
      </c>
      <c r="C10" s="6" t="n">
        <v>128</v>
      </c>
      <c r="D10" s="6" t="n">
        <v>9</v>
      </c>
      <c r="E10" s="6" t="n">
        <f aca="false">B10*C10*D10</f>
        <v>1152</v>
      </c>
      <c r="F10" s="0"/>
    </row>
    <row r="11" customFormat="false" ht="15" hidden="false" customHeight="false" outlineLevel="0" collapsed="false">
      <c r="A11" s="6" t="s">
        <v>130</v>
      </c>
      <c r="B11" s="6" t="n">
        <v>1</v>
      </c>
      <c r="C11" s="6" t="n">
        <v>128</v>
      </c>
      <c r="D11" s="6" t="n">
        <v>128</v>
      </c>
      <c r="E11" s="6" t="n">
        <f aca="false">B11*C11*D11</f>
        <v>16384</v>
      </c>
      <c r="F11" s="0"/>
    </row>
    <row r="12" customFormat="false" ht="15" hidden="false" customHeight="false" outlineLevel="0" collapsed="false">
      <c r="A12" s="6" t="s">
        <v>131</v>
      </c>
      <c r="B12" s="6" t="n">
        <v>1</v>
      </c>
      <c r="C12" s="6" t="n">
        <v>128</v>
      </c>
      <c r="D12" s="6" t="n">
        <v>9</v>
      </c>
      <c r="E12" s="6" t="n">
        <f aca="false">B12*C12*D12</f>
        <v>1152</v>
      </c>
      <c r="F12" s="0"/>
    </row>
    <row r="13" customFormat="false" ht="15" hidden="false" customHeight="false" outlineLevel="0" collapsed="false">
      <c r="A13" s="6" t="s">
        <v>132</v>
      </c>
      <c r="B13" s="6" t="n">
        <v>1</v>
      </c>
      <c r="C13" s="6" t="n">
        <v>256</v>
      </c>
      <c r="D13" s="6" t="n">
        <v>128</v>
      </c>
      <c r="E13" s="6" t="n">
        <f aca="false">B13*C13*D13</f>
        <v>32768</v>
      </c>
      <c r="F13" s="0"/>
    </row>
    <row r="14" customFormat="false" ht="15" hidden="false" customHeight="false" outlineLevel="0" collapsed="false">
      <c r="A14" s="6" t="s">
        <v>133</v>
      </c>
      <c r="B14" s="6" t="n">
        <v>1</v>
      </c>
      <c r="C14" s="6" t="n">
        <v>256</v>
      </c>
      <c r="D14" s="6" t="n">
        <v>9</v>
      </c>
      <c r="E14" s="6" t="n">
        <f aca="false">B14*C14*D14</f>
        <v>2304</v>
      </c>
      <c r="F14" s="0"/>
    </row>
    <row r="15" customFormat="false" ht="15" hidden="false" customHeight="false" outlineLevel="0" collapsed="false">
      <c r="A15" s="6" t="s">
        <v>134</v>
      </c>
      <c r="B15" s="6" t="n">
        <v>1</v>
      </c>
      <c r="C15" s="6" t="n">
        <v>256</v>
      </c>
      <c r="D15" s="6" t="n">
        <v>256</v>
      </c>
      <c r="E15" s="6" t="n">
        <f aca="false">B15*C15*D15</f>
        <v>65536</v>
      </c>
      <c r="F15" s="0"/>
    </row>
    <row r="16" customFormat="false" ht="15" hidden="false" customHeight="false" outlineLevel="0" collapsed="false">
      <c r="A16" s="6" t="s">
        <v>135</v>
      </c>
      <c r="B16" s="6" t="n">
        <v>1</v>
      </c>
      <c r="C16" s="6" t="n">
        <v>256</v>
      </c>
      <c r="D16" s="6" t="n">
        <v>9</v>
      </c>
      <c r="E16" s="6" t="n">
        <f aca="false">B16*C16*D16</f>
        <v>2304</v>
      </c>
      <c r="F16" s="0"/>
    </row>
    <row r="17" customFormat="false" ht="15" hidden="false" customHeight="false" outlineLevel="0" collapsed="false">
      <c r="A17" s="6" t="s">
        <v>136</v>
      </c>
      <c r="B17" s="6" t="n">
        <v>1</v>
      </c>
      <c r="C17" s="6" t="n">
        <v>512</v>
      </c>
      <c r="D17" s="6" t="n">
        <v>256</v>
      </c>
      <c r="E17" s="6" t="n">
        <f aca="false">B17*C17*D17</f>
        <v>131072</v>
      </c>
      <c r="F17" s="0"/>
    </row>
    <row r="18" customFormat="false" ht="15" hidden="false" customHeight="false" outlineLevel="0" collapsed="false">
      <c r="A18" s="6" t="s">
        <v>137</v>
      </c>
      <c r="B18" s="6" t="n">
        <v>5</v>
      </c>
      <c r="C18" s="6" t="n">
        <v>512</v>
      </c>
      <c r="D18" s="6" t="n">
        <v>9</v>
      </c>
      <c r="E18" s="6" t="n">
        <f aca="false">B18*C18*D18</f>
        <v>23040</v>
      </c>
      <c r="F18" s="0"/>
    </row>
    <row r="19" customFormat="false" ht="15" hidden="false" customHeight="false" outlineLevel="0" collapsed="false">
      <c r="A19" s="6" t="s">
        <v>138</v>
      </c>
      <c r="B19" s="6" t="n">
        <v>5</v>
      </c>
      <c r="C19" s="6" t="n">
        <v>512</v>
      </c>
      <c r="D19" s="6" t="n">
        <v>512</v>
      </c>
      <c r="E19" s="6" t="n">
        <f aca="false">B19*C19*D19</f>
        <v>1310720</v>
      </c>
      <c r="F19" s="0"/>
    </row>
    <row r="20" customFormat="false" ht="15" hidden="false" customHeight="false" outlineLevel="0" collapsed="false">
      <c r="A20" s="6" t="s">
        <v>139</v>
      </c>
      <c r="B20" s="6" t="n">
        <v>1</v>
      </c>
      <c r="C20" s="6" t="n">
        <v>512</v>
      </c>
      <c r="D20" s="6" t="n">
        <v>9</v>
      </c>
      <c r="E20" s="6" t="n">
        <f aca="false">B20*C20*D20</f>
        <v>4608</v>
      </c>
      <c r="F20" s="0"/>
    </row>
    <row r="21" customFormat="false" ht="15" hidden="false" customHeight="false" outlineLevel="0" collapsed="false">
      <c r="A21" s="6" t="s">
        <v>140</v>
      </c>
      <c r="B21" s="6" t="n">
        <v>1</v>
      </c>
      <c r="C21" s="6" t="n">
        <v>1024</v>
      </c>
      <c r="D21" s="6" t="n">
        <v>512</v>
      </c>
      <c r="E21" s="6" t="n">
        <f aca="false">B21*C21*D21</f>
        <v>524288</v>
      </c>
      <c r="F21" s="0"/>
    </row>
    <row r="22" customFormat="false" ht="15" hidden="false" customHeight="false" outlineLevel="0" collapsed="false">
      <c r="A22" s="6" t="s">
        <v>141</v>
      </c>
      <c r="B22" s="6" t="n">
        <v>1</v>
      </c>
      <c r="C22" s="6" t="n">
        <v>1024</v>
      </c>
      <c r="D22" s="6" t="n">
        <v>9</v>
      </c>
      <c r="E22" s="6" t="n">
        <f aca="false">B22*C22*D22</f>
        <v>9216</v>
      </c>
      <c r="F22" s="0"/>
    </row>
    <row r="23" customFormat="false" ht="15" hidden="false" customHeight="false" outlineLevel="0" collapsed="false">
      <c r="A23" s="6" t="s">
        <v>142</v>
      </c>
      <c r="B23" s="6" t="n">
        <v>1</v>
      </c>
      <c r="C23" s="6" t="n">
        <v>1024</v>
      </c>
      <c r="D23" s="6" t="n">
        <v>1024</v>
      </c>
      <c r="E23" s="6" t="n">
        <f aca="false">B23*C23*D23</f>
        <v>1048576</v>
      </c>
      <c r="F23" s="0"/>
    </row>
    <row r="24" customFormat="false" ht="15" hidden="false" customHeight="false" outlineLevel="0" collapsed="false">
      <c r="A24" s="6" t="s">
        <v>143</v>
      </c>
      <c r="B24" s="6" t="n">
        <v>1</v>
      </c>
      <c r="C24" s="6" t="n">
        <v>1001</v>
      </c>
      <c r="D24" s="6" t="n">
        <v>1024</v>
      </c>
      <c r="E24" s="6" t="n">
        <f aca="false">B24*C24*D24</f>
        <v>1025024</v>
      </c>
      <c r="F24" s="0"/>
    </row>
    <row r="25" customFormat="false" ht="15" hidden="false" customHeight="false" outlineLevel="0" collapsed="false">
      <c r="A25" s="11" t="s">
        <v>77</v>
      </c>
      <c r="B25" s="12"/>
      <c r="C25" s="12"/>
      <c r="D25" s="12"/>
      <c r="E25" s="11" t="n">
        <f aca="false">SUM(E5:E24)</f>
        <v>4210112</v>
      </c>
      <c r="F25" s="0"/>
    </row>
    <row r="27" customFormat="false" ht="15" hidden="false" customHeight="false" outlineLevel="0" collapsed="false">
      <c r="A27" s="1" t="s">
        <v>144</v>
      </c>
      <c r="B27" s="3" t="n">
        <v>8</v>
      </c>
    </row>
    <row r="28" customFormat="false" ht="15" hidden="false" customHeight="false" outlineLevel="0" collapsed="false">
      <c r="A28" s="1" t="s">
        <v>79</v>
      </c>
      <c r="B28" s="1" t="n">
        <f aca="false">B27/config!$B$3</f>
        <v>4</v>
      </c>
    </row>
    <row r="31" customFormat="false" ht="15" hidden="false" customHeight="false" outlineLevel="0" collapsed="false">
      <c r="A31" s="2" t="s">
        <v>80</v>
      </c>
      <c r="B31" s="2" t="s">
        <v>81</v>
      </c>
      <c r="C31" s="2" t="s">
        <v>82</v>
      </c>
      <c r="D31" s="2" t="s">
        <v>83</v>
      </c>
      <c r="E31" s="2" t="s">
        <v>84</v>
      </c>
      <c r="F31" s="2" t="s">
        <v>85</v>
      </c>
      <c r="G31" s="2" t="s">
        <v>86</v>
      </c>
      <c r="H31" s="2" t="s">
        <v>61</v>
      </c>
      <c r="I31" s="2" t="s">
        <v>87</v>
      </c>
      <c r="J31" s="2" t="s">
        <v>88</v>
      </c>
      <c r="K31" s="2" t="s">
        <v>89</v>
      </c>
      <c r="L31" s="2" t="s">
        <v>90</v>
      </c>
      <c r="M31" s="2" t="s">
        <v>91</v>
      </c>
      <c r="N31" s="2" t="s">
        <v>92</v>
      </c>
      <c r="O31" s="2" t="s">
        <v>93</v>
      </c>
      <c r="P31" s="2" t="s">
        <v>94</v>
      </c>
      <c r="Q31" s="2" t="s">
        <v>95</v>
      </c>
    </row>
    <row r="32" customFormat="false" ht="15" hidden="false" customHeight="false" outlineLevel="0" collapsed="false">
      <c r="A32" s="3" t="s">
        <v>145</v>
      </c>
      <c r="B32" s="3" t="s">
        <v>97</v>
      </c>
      <c r="C32" s="3" t="n">
        <v>32</v>
      </c>
      <c r="D32" s="3" t="n">
        <v>27</v>
      </c>
      <c r="E32" s="3" t="n">
        <v>112</v>
      </c>
      <c r="F32" s="3" t="n">
        <v>112</v>
      </c>
      <c r="G32" s="1" t="n">
        <f aca="false">IF(OR(B32="conv",B32="pw",B32="head",B32="mm"),-INT(-C32/config!$B$2)*-INT(-D32/config!$B$2),IF(B32="dw",1,""))</f>
        <v>1</v>
      </c>
      <c r="H32" s="1" t="n">
        <f aca="false">IF(OR(B32="conv",B32="pw",B32="head",B32="mm",B32="dw"),C32*D32,"")</f>
        <v>864</v>
      </c>
      <c r="I32" s="1" t="n">
        <f aca="false">IF(OR(B32="conv",B32="pw",B32="head",B32="mm",B32="dw",B32="pool"),C32,"")</f>
        <v>32</v>
      </c>
      <c r="J32" s="1" t="n">
        <f aca="false">IF(OR(B32="conv",B32="pw",B32="mm",B32="dw"),I32*E32*F32,0)</f>
        <v>401408</v>
      </c>
      <c r="K32" s="1" t="n">
        <f aca="false">IF(OR(B32="conv",B32="pw",B32="dw",B32="head"),C32,0)</f>
        <v>32</v>
      </c>
      <c r="L32" s="1" t="n">
        <f aca="false">IF(B32="dw",I32*config!$B$6+config!$B$16*config!$B$5+K32+config!$B$9,IF(B32="pool",I32*2+config!$B$9,IF(B32="dac",C32*config!$B$12,IF(B32="adc",C32*config!$B$13,IF(OR(B32="conv",B32="pw"),G32*config!$B$7+K32+config!$B$9,IF(B32="head",G32*config!$B$7+K32,""))))))</f>
        <v>820</v>
      </c>
      <c r="M32" s="1" t="n">
        <v>0</v>
      </c>
      <c r="N32" s="1" t="n">
        <f aca="false">IF(OR(B32="conv",B32="pw",B32="head",B32="mm",B32="dw"),H32*2*mobilenetv1!$B$28*(1+config!$B$4),0)</f>
        <v>8294.4</v>
      </c>
      <c r="O32" s="1" t="n">
        <f aca="false">IF(OR(B32="conv",B32="pw",B32="dw",B32="pool"),config!$B$10,IF(B32="adc",C32*config!$B$14,0))</f>
        <v>2</v>
      </c>
      <c r="P32" s="1" t="n">
        <f aca="false">IF(OR(B32="conv",B32="pw",B32="dw",B32="pool"),J32*2+config!$B$11,0)</f>
        <v>802817</v>
      </c>
      <c r="Q32" s="1" t="n">
        <f aca="false">IF(OR(B32="conv",B32="pw",B32="dw",B32="head"),G32*2*config!$B$2+I32*10,0)</f>
        <v>448</v>
      </c>
    </row>
    <row r="33" customFormat="false" ht="15" hidden="false" customHeight="false" outlineLevel="0" collapsed="false">
      <c r="A33" s="3" t="s">
        <v>146</v>
      </c>
      <c r="B33" s="3" t="s">
        <v>99</v>
      </c>
      <c r="C33" s="3" t="n">
        <v>32</v>
      </c>
      <c r="D33" s="3" t="n">
        <v>9</v>
      </c>
      <c r="E33" s="3" t="n">
        <v>112</v>
      </c>
      <c r="F33" s="3" t="n">
        <v>112</v>
      </c>
      <c r="G33" s="1" t="n">
        <f aca="false">IF(OR(B33="conv",B33="pw",B33="head",B33="mm"),-INT(-C33/config!$B$2)*-INT(-D33/config!$B$2),IF(B33="dw",1,""))</f>
        <v>1</v>
      </c>
      <c r="H33" s="1" t="n">
        <f aca="false">IF(OR(B33="conv",B33="pw",B33="head",B33="mm",B33="dw"),C33*D33,"")</f>
        <v>288</v>
      </c>
      <c r="I33" s="1" t="n">
        <f aca="false">IF(OR(B33="conv",B33="pw",B33="head",B33="mm",B33="dw",B33="pool"),C33,"")</f>
        <v>32</v>
      </c>
      <c r="J33" s="1" t="n">
        <f aca="false">IF(OR(B33="conv",B33="pw",B33="mm",B33="dw"),I33*E33*F33,0)</f>
        <v>401408</v>
      </c>
      <c r="K33" s="1" t="n">
        <f aca="false">IF(OR(B33="conv",B33="pw",B33="dw",B33="head"),C33,0)</f>
        <v>32</v>
      </c>
      <c r="L33" s="1" t="n">
        <f aca="false">IF(B33="dw",I33*config!$B$6+config!$B$16*config!$B$5+K33+config!$B$9,IF(B33="pool",I33*2+config!$B$9,IF(B33="dac",C33*config!$B$12,IF(B33="adc",C33*config!$B$13,IF(OR(B33="conv",B33="pw"),G33*config!$B$7+K33+config!$B$9,IF(B33="head",G33*config!$B$7+K33,""))))))</f>
        <v>390</v>
      </c>
      <c r="M33" s="1" t="n">
        <v>0</v>
      </c>
      <c r="N33" s="1" t="n">
        <f aca="false">IF(OR(B33="conv",B33="pw",B33="head",B33="mm",B33="dw"),H33*2*mobilenetv1!$B$28*(1+config!$B$4),0)</f>
        <v>2764.8</v>
      </c>
      <c r="O33" s="1" t="n">
        <f aca="false">IF(OR(B33="conv",B33="pw",B33="dw",B33="pool"),config!$B$10,IF(B33="adc",C33*config!$B$14,0))</f>
        <v>2</v>
      </c>
      <c r="P33" s="1" t="n">
        <f aca="false">IF(OR(B33="conv",B33="pw",B33="dw",B33="pool"),J33*2+config!$B$11,0)</f>
        <v>802817</v>
      </c>
      <c r="Q33" s="1" t="n">
        <f aca="false">IF(OR(B33="conv",B33="pw",B33="dw",B33="head"),G33*2*config!$B$2+I33*10,0)</f>
        <v>448</v>
      </c>
    </row>
    <row r="34" customFormat="false" ht="15" hidden="false" customHeight="false" outlineLevel="0" collapsed="false">
      <c r="A34" s="3" t="s">
        <v>147</v>
      </c>
      <c r="B34" s="3" t="s">
        <v>101</v>
      </c>
      <c r="C34" s="3" t="n">
        <v>64</v>
      </c>
      <c r="D34" s="3" t="n">
        <v>32</v>
      </c>
      <c r="E34" s="3" t="n">
        <v>112</v>
      </c>
      <c r="F34" s="3" t="n">
        <v>112</v>
      </c>
      <c r="G34" s="1" t="n">
        <f aca="false">IF(OR(B34="conv",B34="pw",B34="head",B34="mm"),-INT(-C34/config!$B$2)*-INT(-D34/config!$B$2),IF(B34="dw",1,""))</f>
        <v>1</v>
      </c>
      <c r="H34" s="1" t="n">
        <f aca="false">IF(OR(B34="conv",B34="pw",B34="head",B34="mm",B34="dw"),C34*D34,"")</f>
        <v>2048</v>
      </c>
      <c r="I34" s="1" t="n">
        <f aca="false">IF(OR(B34="conv",B34="pw",B34="head",B34="mm",B34="dw",B34="pool"),C34,"")</f>
        <v>64</v>
      </c>
      <c r="J34" s="1" t="n">
        <f aca="false">IF(OR(B34="conv",B34="pw",B34="mm",B34="dw"),I34*E34*F34,0)</f>
        <v>802816</v>
      </c>
      <c r="K34" s="1" t="n">
        <f aca="false">IF(OR(B34="conv",B34="pw",B34="dw",B34="head"),C34,0)</f>
        <v>64</v>
      </c>
      <c r="L34" s="1" t="n">
        <f aca="false">IF(B34="dw",I34*config!$B$6+config!$B$16*config!$B$5+K34+config!$B$9,IF(B34="pool",I34*2+config!$B$9,IF(B34="dac",C34*config!$B$12,IF(B34="adc",C34*config!$B$13,IF(OR(B34="conv",B34="pw"),G34*config!$B$7+K34+config!$B$9,IF(B34="head",G34*config!$B$7+K34,""))))))</f>
        <v>852</v>
      </c>
      <c r="M34" s="1" t="n">
        <v>0</v>
      </c>
      <c r="N34" s="1" t="n">
        <f aca="false">IF(OR(B34="conv",B34="pw",B34="head",B34="mm",B34="dw"),H34*2*mobilenetv1!$B$28*(1+config!$B$4),0)</f>
        <v>19660.8</v>
      </c>
      <c r="O34" s="1" t="n">
        <f aca="false">IF(OR(B34="conv",B34="pw",B34="dw",B34="pool"),config!$B$10,IF(B34="adc",C34*config!$B$14,0))</f>
        <v>2</v>
      </c>
      <c r="P34" s="1" t="n">
        <f aca="false">IF(OR(B34="conv",B34="pw",B34="dw",B34="pool"),J34*2+config!$B$11,0)</f>
        <v>1605633</v>
      </c>
      <c r="Q34" s="1" t="n">
        <f aca="false">IF(OR(B34="conv",B34="pw",B34="dw",B34="head"),G34*2*config!$B$2+I34*10,0)</f>
        <v>768</v>
      </c>
    </row>
    <row r="35" customFormat="false" ht="15" hidden="false" customHeight="false" outlineLevel="0" collapsed="false">
      <c r="A35" s="3" t="s">
        <v>148</v>
      </c>
      <c r="B35" s="3" t="s">
        <v>99</v>
      </c>
      <c r="C35" s="3" t="n">
        <v>64</v>
      </c>
      <c r="D35" s="3" t="n">
        <v>9</v>
      </c>
      <c r="E35" s="3" t="n">
        <v>56</v>
      </c>
      <c r="F35" s="3" t="n">
        <v>56</v>
      </c>
      <c r="G35" s="1" t="n">
        <f aca="false">IF(OR(B35="conv",B35="pw",B35="head",B35="mm"),-INT(-C35/config!$B$2)*-INT(-D35/config!$B$2),IF(B35="dw",1,""))</f>
        <v>1</v>
      </c>
      <c r="H35" s="1" t="n">
        <f aca="false">IF(OR(B35="conv",B35="pw",B35="head",B35="mm",B35="dw"),C35*D35,"")</f>
        <v>576</v>
      </c>
      <c r="I35" s="1" t="n">
        <f aca="false">IF(OR(B35="conv",B35="pw",B35="head",B35="mm",B35="dw",B35="pool"),C35,"")</f>
        <v>64</v>
      </c>
      <c r="J35" s="1" t="n">
        <f aca="false">IF(OR(B35="conv",B35="pw",B35="mm",B35="dw"),I35*E35*F35,0)</f>
        <v>200704</v>
      </c>
      <c r="K35" s="1" t="n">
        <f aca="false">IF(OR(B35="conv",B35="pw",B35="dw",B35="head"),C35,0)</f>
        <v>64</v>
      </c>
      <c r="L35" s="1" t="n">
        <f aca="false">IF(B35="dw",I35*config!$B$6+config!$B$16*config!$B$5+K35+config!$B$9,IF(B35="pool",I35*2+config!$B$9,IF(B35="dac",C35*config!$B$12,IF(B35="adc",C35*config!$B$13,IF(OR(B35="conv",B35="pw"),G35*config!$B$7+K35+config!$B$9,IF(B35="head",G35*config!$B$7+K35,""))))))</f>
        <v>742</v>
      </c>
      <c r="M35" s="1" t="n">
        <v>0</v>
      </c>
      <c r="N35" s="1" t="n">
        <f aca="false">IF(OR(B35="conv",B35="pw",B35="head",B35="mm",B35="dw"),H35*2*mobilenetv1!$B$28*(1+config!$B$4),0)</f>
        <v>5529.6</v>
      </c>
      <c r="O35" s="1" t="n">
        <f aca="false">IF(OR(B35="conv",B35="pw",B35="dw",B35="pool"),config!$B$10,IF(B35="adc",C35*config!$B$14,0))</f>
        <v>2</v>
      </c>
      <c r="P35" s="1" t="n">
        <f aca="false">IF(OR(B35="conv",B35="pw",B35="dw",B35="pool"),J35*2+config!$B$11,0)</f>
        <v>401409</v>
      </c>
      <c r="Q35" s="1" t="n">
        <f aca="false">IF(OR(B35="conv",B35="pw",B35="dw",B35="head"),G35*2*config!$B$2+I35*10,0)</f>
        <v>768</v>
      </c>
    </row>
    <row r="36" customFormat="false" ht="15" hidden="false" customHeight="false" outlineLevel="0" collapsed="false">
      <c r="A36" s="3" t="s">
        <v>149</v>
      </c>
      <c r="B36" s="3" t="s">
        <v>101</v>
      </c>
      <c r="C36" s="3" t="n">
        <v>128</v>
      </c>
      <c r="D36" s="3" t="n">
        <v>64</v>
      </c>
      <c r="E36" s="3" t="n">
        <v>56</v>
      </c>
      <c r="F36" s="3" t="n">
        <v>56</v>
      </c>
      <c r="G36" s="1" t="n">
        <f aca="false">IF(OR(B36="conv",B36="pw",B36="head",B36="mm"),-INT(-C36/config!$B$2)*-INT(-D36/config!$B$2),IF(B36="dw",1,""))</f>
        <v>2</v>
      </c>
      <c r="H36" s="1" t="n">
        <f aca="false">IF(OR(B36="conv",B36="pw",B36="head",B36="mm",B36="dw"),C36*D36,"")</f>
        <v>8192</v>
      </c>
      <c r="I36" s="1" t="n">
        <f aca="false">IF(OR(B36="conv",B36="pw",B36="head",B36="mm",B36="dw",B36="pool"),C36,"")</f>
        <v>128</v>
      </c>
      <c r="J36" s="1" t="n">
        <f aca="false">IF(OR(B36="conv",B36="pw",B36="mm",B36="dw"),I36*E36*F36,0)</f>
        <v>401408</v>
      </c>
      <c r="K36" s="1" t="n">
        <f aca="false">IF(OR(B36="conv",B36="pw",B36="dw",B36="head"),C36,0)</f>
        <v>128</v>
      </c>
      <c r="L36" s="1" t="n">
        <f aca="false">IF(B36="dw",I36*config!$B$6+config!$B$16*config!$B$5+K36+config!$B$9,IF(B36="pool",I36*2+config!$B$9,IF(B36="dac",C36*config!$B$12,IF(B36="adc",C36*config!$B$13,IF(OR(B36="conv",B36="pw"),G36*config!$B$7+K36+config!$B$9,IF(B36="head",G36*config!$B$7+K36,""))))))</f>
        <v>1684</v>
      </c>
      <c r="M36" s="1" t="n">
        <v>0</v>
      </c>
      <c r="N36" s="1" t="n">
        <f aca="false">IF(OR(B36="conv",B36="pw",B36="head",B36="mm",B36="dw"),H36*2*mobilenetv1!$B$28*(1+config!$B$4),0)</f>
        <v>78643.2</v>
      </c>
      <c r="O36" s="1" t="n">
        <f aca="false">IF(OR(B36="conv",B36="pw",B36="dw",B36="pool"),config!$B$10,IF(B36="adc",C36*config!$B$14,0))</f>
        <v>2</v>
      </c>
      <c r="P36" s="1" t="n">
        <f aca="false">IF(OR(B36="conv",B36="pw",B36="dw",B36="pool"),J36*2+config!$B$11,0)</f>
        <v>802817</v>
      </c>
      <c r="Q36" s="1" t="n">
        <f aca="false">IF(OR(B36="conv",B36="pw",B36="dw",B36="head"),G36*2*config!$B$2+I36*10,0)</f>
        <v>1536</v>
      </c>
    </row>
    <row r="37" customFormat="false" ht="15" hidden="false" customHeight="false" outlineLevel="0" collapsed="false">
      <c r="A37" s="3" t="s">
        <v>150</v>
      </c>
      <c r="B37" s="3" t="s">
        <v>99</v>
      </c>
      <c r="C37" s="3" t="n">
        <v>128</v>
      </c>
      <c r="D37" s="3" t="n">
        <v>9</v>
      </c>
      <c r="E37" s="3" t="n">
        <v>56</v>
      </c>
      <c r="F37" s="3" t="n">
        <v>56</v>
      </c>
      <c r="G37" s="1" t="n">
        <f aca="false">IF(OR(B37="conv",B37="pw",B37="head",B37="mm"),-INT(-C37/config!$B$2)*-INT(-D37/config!$B$2),IF(B37="dw",1,""))</f>
        <v>1</v>
      </c>
      <c r="H37" s="1" t="n">
        <f aca="false">IF(OR(B37="conv",B37="pw",B37="head",B37="mm",B37="dw"),C37*D37,"")</f>
        <v>1152</v>
      </c>
      <c r="I37" s="1" t="n">
        <f aca="false">IF(OR(B37="conv",B37="pw",B37="head",B37="mm",B37="dw",B37="pool"),C37,"")</f>
        <v>128</v>
      </c>
      <c r="J37" s="1" t="n">
        <f aca="false">IF(OR(B37="conv",B37="pw",B37="mm",B37="dw"),I37*E37*F37,0)</f>
        <v>401408</v>
      </c>
      <c r="K37" s="1" t="n">
        <f aca="false">IF(OR(B37="conv",B37="pw",B37="dw",B37="head"),C37,0)</f>
        <v>128</v>
      </c>
      <c r="L37" s="1" t="n">
        <f aca="false">IF(B37="dw",I37*config!$B$6+config!$B$16*config!$B$5+K37+config!$B$9,IF(B37="pool",I37*2+config!$B$9,IF(B37="dac",C37*config!$B$12,IF(B37="adc",C37*config!$B$13,IF(OR(B37="conv",B37="pw"),G37*config!$B$7+K37+config!$B$9,IF(B37="head",G37*config!$B$7+K37,""))))))</f>
        <v>1446</v>
      </c>
      <c r="M37" s="1" t="n">
        <v>0</v>
      </c>
      <c r="N37" s="1" t="n">
        <f aca="false">IF(OR(B37="conv",B37="pw",B37="head",B37="mm",B37="dw"),H37*2*mobilenetv1!$B$28*(1+config!$B$4),0)</f>
        <v>11059.2</v>
      </c>
      <c r="O37" s="1" t="n">
        <f aca="false">IF(OR(B37="conv",B37="pw",B37="dw",B37="pool"),config!$B$10,IF(B37="adc",C37*config!$B$14,0))</f>
        <v>2</v>
      </c>
      <c r="P37" s="1" t="n">
        <f aca="false">IF(OR(B37="conv",B37="pw",B37="dw",B37="pool"),J37*2+config!$B$11,0)</f>
        <v>802817</v>
      </c>
      <c r="Q37" s="1" t="n">
        <f aca="false">IF(OR(B37="conv",B37="pw",B37="dw",B37="head"),G37*2*config!$B$2+I37*10,0)</f>
        <v>1408</v>
      </c>
    </row>
    <row r="38" customFormat="false" ht="15" hidden="false" customHeight="false" outlineLevel="0" collapsed="false">
      <c r="A38" s="3" t="s">
        <v>151</v>
      </c>
      <c r="B38" s="3" t="s">
        <v>101</v>
      </c>
      <c r="C38" s="3" t="n">
        <v>128</v>
      </c>
      <c r="D38" s="3" t="n">
        <v>128</v>
      </c>
      <c r="E38" s="3" t="n">
        <v>56</v>
      </c>
      <c r="F38" s="3" t="n">
        <v>56</v>
      </c>
      <c r="G38" s="1" t="n">
        <f aca="false">IF(OR(B38="conv",B38="pw",B38="head",B38="mm"),-INT(-C38/config!$B$2)*-INT(-D38/config!$B$2),IF(B38="dw",1,""))</f>
        <v>4</v>
      </c>
      <c r="H38" s="1" t="n">
        <f aca="false">IF(OR(B38="conv",B38="pw",B38="head",B38="mm",B38="dw"),C38*D38,"")</f>
        <v>16384</v>
      </c>
      <c r="I38" s="1" t="n">
        <f aca="false">IF(OR(B38="conv",B38="pw",B38="head",B38="mm",B38="dw",B38="pool"),C38,"")</f>
        <v>128</v>
      </c>
      <c r="J38" s="1" t="n">
        <f aca="false">IF(OR(B38="conv",B38="pw",B38="mm",B38="dw"),I38*E38*F38,0)</f>
        <v>401408</v>
      </c>
      <c r="K38" s="1" t="n">
        <f aca="false">IF(OR(B38="conv",B38="pw",B38="dw",B38="head"),C38,0)</f>
        <v>128</v>
      </c>
      <c r="L38" s="1" t="n">
        <f aca="false">IF(B38="dw",I38*config!$B$6+config!$B$16*config!$B$5+K38+config!$B$9,IF(B38="pool",I38*2+config!$B$9,IF(B38="dac",C38*config!$B$12,IF(B38="adc",C38*config!$B$13,IF(OR(B38="conv",B38="pw"),G38*config!$B$7+K38+config!$B$9,IF(B38="head",G38*config!$B$7+K38,""))))))</f>
        <v>3220</v>
      </c>
      <c r="M38" s="1" t="n">
        <v>0</v>
      </c>
      <c r="N38" s="1" t="n">
        <f aca="false">IF(OR(B38="conv",B38="pw",B38="head",B38="mm",B38="dw"),H38*2*mobilenetv1!$B$28*(1+config!$B$4),0)</f>
        <v>157286.4</v>
      </c>
      <c r="O38" s="1" t="n">
        <f aca="false">IF(OR(B38="conv",B38="pw",B38="dw",B38="pool"),config!$B$10,IF(B38="adc",C38*config!$B$14,0))</f>
        <v>2</v>
      </c>
      <c r="P38" s="1" t="n">
        <f aca="false">IF(OR(B38="conv",B38="pw",B38="dw",B38="pool"),J38*2+config!$B$11,0)</f>
        <v>802817</v>
      </c>
      <c r="Q38" s="1" t="n">
        <f aca="false">IF(OR(B38="conv",B38="pw",B38="dw",B38="head"),G38*2*config!$B$2+I38*10,0)</f>
        <v>1792</v>
      </c>
    </row>
    <row r="39" customFormat="false" ht="15" hidden="false" customHeight="false" outlineLevel="0" collapsed="false">
      <c r="A39" s="3" t="s">
        <v>152</v>
      </c>
      <c r="B39" s="3" t="s">
        <v>99</v>
      </c>
      <c r="C39" s="3" t="n">
        <v>128</v>
      </c>
      <c r="D39" s="3" t="n">
        <v>9</v>
      </c>
      <c r="E39" s="3" t="n">
        <v>28</v>
      </c>
      <c r="F39" s="3" t="n">
        <v>28</v>
      </c>
      <c r="G39" s="1" t="n">
        <f aca="false">IF(OR(B39="conv",B39="pw",B39="head",B39="mm"),-INT(-C39/config!$B$2)*-INT(-D39/config!$B$2),IF(B39="dw",1,""))</f>
        <v>1</v>
      </c>
      <c r="H39" s="1" t="n">
        <f aca="false">IF(OR(B39="conv",B39="pw",B39="head",B39="mm",B39="dw"),C39*D39,"")</f>
        <v>1152</v>
      </c>
      <c r="I39" s="1" t="n">
        <f aca="false">IF(OR(B39="conv",B39="pw",B39="head",B39="mm",B39="dw",B39="pool"),C39,"")</f>
        <v>128</v>
      </c>
      <c r="J39" s="1" t="n">
        <f aca="false">IF(OR(B39="conv",B39="pw",B39="mm",B39="dw"),I39*E39*F39,0)</f>
        <v>100352</v>
      </c>
      <c r="K39" s="1" t="n">
        <f aca="false">IF(OR(B39="conv",B39="pw",B39="dw",B39="head"),C39,0)</f>
        <v>128</v>
      </c>
      <c r="L39" s="1" t="n">
        <f aca="false">IF(B39="dw",I39*config!$B$6+config!$B$16*config!$B$5+K39+config!$B$9,IF(B39="pool",I39*2+config!$B$9,IF(B39="dac",C39*config!$B$12,IF(B39="adc",C39*config!$B$13,IF(OR(B39="conv",B39="pw"),G39*config!$B$7+K39+config!$B$9,IF(B39="head",G39*config!$B$7+K39,""))))))</f>
        <v>1446</v>
      </c>
      <c r="M39" s="1" t="n">
        <v>0</v>
      </c>
      <c r="N39" s="1" t="n">
        <f aca="false">IF(OR(B39="conv",B39="pw",B39="head",B39="mm",B39="dw"),H39*2*mobilenetv1!$B$28*(1+config!$B$4),0)</f>
        <v>11059.2</v>
      </c>
      <c r="O39" s="1" t="n">
        <f aca="false">IF(OR(B39="conv",B39="pw",B39="dw",B39="pool"),config!$B$10,IF(B39="adc",C39*config!$B$14,0))</f>
        <v>2</v>
      </c>
      <c r="P39" s="1" t="n">
        <f aca="false">IF(OR(B39="conv",B39="pw",B39="dw",B39="pool"),J39*2+config!$B$11,0)</f>
        <v>200705</v>
      </c>
      <c r="Q39" s="1" t="n">
        <f aca="false">IF(OR(B39="conv",B39="pw",B39="dw",B39="head"),G39*2*config!$B$2+I39*10,0)</f>
        <v>1408</v>
      </c>
    </row>
    <row r="40" customFormat="false" ht="15" hidden="false" customHeight="false" outlineLevel="0" collapsed="false">
      <c r="A40" s="3" t="s">
        <v>153</v>
      </c>
      <c r="B40" s="3" t="s">
        <v>101</v>
      </c>
      <c r="C40" s="3" t="n">
        <v>256</v>
      </c>
      <c r="D40" s="3" t="n">
        <v>128</v>
      </c>
      <c r="E40" s="3" t="n">
        <v>28</v>
      </c>
      <c r="F40" s="3" t="n">
        <v>28</v>
      </c>
      <c r="G40" s="1" t="n">
        <f aca="false">IF(OR(B40="conv",B40="pw",B40="head",B40="mm"),-INT(-C40/config!$B$2)*-INT(-D40/config!$B$2),IF(B40="dw",1,""))</f>
        <v>8</v>
      </c>
      <c r="H40" s="1" t="n">
        <f aca="false">IF(OR(B40="conv",B40="pw",B40="head",B40="mm",B40="dw"),C40*D40,"")</f>
        <v>32768</v>
      </c>
      <c r="I40" s="1" t="n">
        <f aca="false">IF(OR(B40="conv",B40="pw",B40="head",B40="mm",B40="dw",B40="pool"),C40,"")</f>
        <v>256</v>
      </c>
      <c r="J40" s="1" t="n">
        <f aca="false">IF(OR(B40="conv",B40="pw",B40="mm",B40="dw"),I40*E40*F40,0)</f>
        <v>200704</v>
      </c>
      <c r="K40" s="1" t="n">
        <f aca="false">IF(OR(B40="conv",B40="pw",B40="dw",B40="head"),C40,0)</f>
        <v>256</v>
      </c>
      <c r="L40" s="1" t="n">
        <f aca="false">IF(B40="dw",I40*config!$B$6+config!$B$16*config!$B$5+K40+config!$B$9,IF(B40="pool",I40*2+config!$B$9,IF(B40="dac",C40*config!$B$12,IF(B40="adc",C40*config!$B$13,IF(OR(B40="conv",B40="pw"),G40*config!$B$7+K40+config!$B$9,IF(B40="head",G40*config!$B$7+K40,""))))))</f>
        <v>6420</v>
      </c>
      <c r="M40" s="1" t="n">
        <v>0</v>
      </c>
      <c r="N40" s="1" t="n">
        <f aca="false">IF(OR(B40="conv",B40="pw",B40="head",B40="mm",B40="dw"),H40*2*mobilenetv1!$B$28*(1+config!$B$4),0)</f>
        <v>314572.8</v>
      </c>
      <c r="O40" s="1" t="n">
        <f aca="false">IF(OR(B40="conv",B40="pw",B40="dw",B40="pool"),config!$B$10,IF(B40="adc",C40*config!$B$14,0))</f>
        <v>2</v>
      </c>
      <c r="P40" s="1" t="n">
        <f aca="false">IF(OR(B40="conv",B40="pw",B40="dw",B40="pool"),J40*2+config!$B$11,0)</f>
        <v>401409</v>
      </c>
      <c r="Q40" s="1" t="n">
        <f aca="false">IF(OR(B40="conv",B40="pw",B40="dw",B40="head"),G40*2*config!$B$2+I40*10,0)</f>
        <v>3584</v>
      </c>
    </row>
    <row r="41" customFormat="false" ht="15" hidden="false" customHeight="false" outlineLevel="0" collapsed="false">
      <c r="A41" s="3" t="s">
        <v>154</v>
      </c>
      <c r="B41" s="3" t="s">
        <v>99</v>
      </c>
      <c r="C41" s="3" t="n">
        <v>256</v>
      </c>
      <c r="D41" s="3" t="n">
        <v>9</v>
      </c>
      <c r="E41" s="3" t="n">
        <v>28</v>
      </c>
      <c r="F41" s="3" t="n">
        <v>28</v>
      </c>
      <c r="G41" s="1" t="n">
        <f aca="false">IF(OR(B41="conv",B41="pw",B41="head",B41="mm"),-INT(-C41/config!$B$2)*-INT(-D41/config!$B$2),IF(B41="dw",1,""))</f>
        <v>1</v>
      </c>
      <c r="H41" s="1" t="n">
        <f aca="false">IF(OR(B41="conv",B41="pw",B41="head",B41="mm",B41="dw"),C41*D41,"")</f>
        <v>2304</v>
      </c>
      <c r="I41" s="1" t="n">
        <f aca="false">IF(OR(B41="conv",B41="pw",B41="head",B41="mm",B41="dw",B41="pool"),C41,"")</f>
        <v>256</v>
      </c>
      <c r="J41" s="1" t="n">
        <f aca="false">IF(OR(B41="conv",B41="pw",B41="mm",B41="dw"),I41*E41*F41,0)</f>
        <v>200704</v>
      </c>
      <c r="K41" s="1" t="n">
        <f aca="false">IF(OR(B41="conv",B41="pw",B41="dw",B41="head"),C41,0)</f>
        <v>256</v>
      </c>
      <c r="L41" s="1" t="n">
        <f aca="false">IF(B41="dw",I41*config!$B$6+config!$B$16*config!$B$5+K41+config!$B$9,IF(B41="pool",I41*2+config!$B$9,IF(B41="dac",C41*config!$B$12,IF(B41="adc",C41*config!$B$13,IF(OR(B41="conv",B41="pw"),G41*config!$B$7+K41+config!$B$9,IF(B41="head",G41*config!$B$7+K41,""))))))</f>
        <v>2854</v>
      </c>
      <c r="M41" s="1" t="n">
        <v>0</v>
      </c>
      <c r="N41" s="1" t="n">
        <f aca="false">IF(OR(B41="conv",B41="pw",B41="head",B41="mm",B41="dw"),H41*2*mobilenetv1!$B$28*(1+config!$B$4),0)</f>
        <v>22118.4</v>
      </c>
      <c r="O41" s="1" t="n">
        <f aca="false">IF(OR(B41="conv",B41="pw",B41="dw",B41="pool"),config!$B$10,IF(B41="adc",C41*config!$B$14,0))</f>
        <v>2</v>
      </c>
      <c r="P41" s="1" t="n">
        <f aca="false">IF(OR(B41="conv",B41="pw",B41="dw",B41="pool"),J41*2+config!$B$11,0)</f>
        <v>401409</v>
      </c>
      <c r="Q41" s="1" t="n">
        <f aca="false">IF(OR(B41="conv",B41="pw",B41="dw",B41="head"),G41*2*config!$B$2+I41*10,0)</f>
        <v>2688</v>
      </c>
    </row>
    <row r="42" customFormat="false" ht="15" hidden="false" customHeight="false" outlineLevel="0" collapsed="false">
      <c r="A42" s="3" t="s">
        <v>155</v>
      </c>
      <c r="B42" s="3" t="s">
        <v>101</v>
      </c>
      <c r="C42" s="3" t="n">
        <v>256</v>
      </c>
      <c r="D42" s="3" t="n">
        <v>256</v>
      </c>
      <c r="E42" s="3" t="n">
        <v>28</v>
      </c>
      <c r="F42" s="3" t="n">
        <v>28</v>
      </c>
      <c r="G42" s="1" t="n">
        <f aca="false">IF(OR(B42="conv",B42="pw",B42="head",B42="mm"),-INT(-C42/config!$B$2)*-INT(-D42/config!$B$2),IF(B42="dw",1,""))</f>
        <v>16</v>
      </c>
      <c r="H42" s="1" t="n">
        <f aca="false">IF(OR(B42="conv",B42="pw",B42="head",B42="mm",B42="dw"),C42*D42,"")</f>
        <v>65536</v>
      </c>
      <c r="I42" s="1" t="n">
        <f aca="false">IF(OR(B42="conv",B42="pw",B42="head",B42="mm",B42="dw",B42="pool"),C42,"")</f>
        <v>256</v>
      </c>
      <c r="J42" s="1" t="n">
        <f aca="false">IF(OR(B42="conv",B42="pw",B42="mm",B42="dw"),I42*E42*F42,0)</f>
        <v>200704</v>
      </c>
      <c r="K42" s="1" t="n">
        <f aca="false">IF(OR(B42="conv",B42="pw",B42="dw",B42="head"),C42,0)</f>
        <v>256</v>
      </c>
      <c r="L42" s="1" t="n">
        <f aca="false">IF(B42="dw",I42*config!$B$6+config!$B$16*config!$B$5+K42+config!$B$9,IF(B42="pool",I42*2+config!$B$9,IF(B42="dac",C42*config!$B$12,IF(B42="adc",C42*config!$B$13,IF(OR(B42="conv",B42="pw"),G42*config!$B$7+K42+config!$B$9,IF(B42="head",G42*config!$B$7+K42,""))))))</f>
        <v>12564</v>
      </c>
      <c r="M42" s="1" t="n">
        <v>0</v>
      </c>
      <c r="N42" s="1" t="n">
        <f aca="false">IF(OR(B42="conv",B42="pw",B42="head",B42="mm",B42="dw"),H42*2*mobilenetv1!$B$28*(1+config!$B$4),0)</f>
        <v>629145.6</v>
      </c>
      <c r="O42" s="1" t="n">
        <f aca="false">IF(OR(B42="conv",B42="pw",B42="dw",B42="pool"),config!$B$10,IF(B42="adc",C42*config!$B$14,0))</f>
        <v>2</v>
      </c>
      <c r="P42" s="1" t="n">
        <f aca="false">IF(OR(B42="conv",B42="pw",B42="dw",B42="pool"),J42*2+config!$B$11,0)</f>
        <v>401409</v>
      </c>
      <c r="Q42" s="1" t="n">
        <f aca="false">IF(OR(B42="conv",B42="pw",B42="dw",B42="head"),G42*2*config!$B$2+I42*10,0)</f>
        <v>4608</v>
      </c>
    </row>
    <row r="43" customFormat="false" ht="15" hidden="false" customHeight="false" outlineLevel="0" collapsed="false">
      <c r="A43" s="3" t="s">
        <v>156</v>
      </c>
      <c r="B43" s="3" t="s">
        <v>99</v>
      </c>
      <c r="C43" s="3" t="n">
        <v>256</v>
      </c>
      <c r="D43" s="3" t="n">
        <v>9</v>
      </c>
      <c r="E43" s="3" t="n">
        <v>14</v>
      </c>
      <c r="F43" s="3" t="n">
        <v>14</v>
      </c>
      <c r="G43" s="1" t="n">
        <f aca="false">IF(OR(B43="conv",B43="pw",B43="head",B43="mm"),-INT(-C43/config!$B$2)*-INT(-D43/config!$B$2),IF(B43="dw",1,""))</f>
        <v>1</v>
      </c>
      <c r="H43" s="1" t="n">
        <f aca="false">IF(OR(B43="conv",B43="pw",B43="head",B43="mm",B43="dw"),C43*D43,"")</f>
        <v>2304</v>
      </c>
      <c r="I43" s="1" t="n">
        <f aca="false">IF(OR(B43="conv",B43="pw",B43="head",B43="mm",B43="dw",B43="pool"),C43,"")</f>
        <v>256</v>
      </c>
      <c r="J43" s="1" t="n">
        <f aca="false">IF(OR(B43="conv",B43="pw",B43="mm",B43="dw"),I43*E43*F43,0)</f>
        <v>50176</v>
      </c>
      <c r="K43" s="1" t="n">
        <f aca="false">IF(OR(B43="conv",B43="pw",B43="dw",B43="head"),C43,0)</f>
        <v>256</v>
      </c>
      <c r="L43" s="1" t="n">
        <f aca="false">IF(B43="dw",I43*config!$B$6+config!$B$16*config!$B$5+K43+config!$B$9,IF(B43="pool",I43*2+config!$B$9,IF(B43="dac",C43*config!$B$12,IF(B43="adc",C43*config!$B$13,IF(OR(B43="conv",B43="pw"),G43*config!$B$7+K43+config!$B$9,IF(B43="head",G43*config!$B$7+K43,""))))))</f>
        <v>2854</v>
      </c>
      <c r="M43" s="1" t="n">
        <v>0</v>
      </c>
      <c r="N43" s="1" t="n">
        <f aca="false">IF(OR(B43="conv",B43="pw",B43="head",B43="mm",B43="dw"),H43*2*mobilenetv1!$B$28*(1+config!$B$4),0)</f>
        <v>22118.4</v>
      </c>
      <c r="O43" s="1" t="n">
        <f aca="false">IF(OR(B43="conv",B43="pw",B43="dw",B43="pool"),config!$B$10,IF(B43="adc",C43*config!$B$14,0))</f>
        <v>2</v>
      </c>
      <c r="P43" s="1" t="n">
        <f aca="false">IF(OR(B43="conv",B43="pw",B43="dw",B43="pool"),J43*2+config!$B$11,0)</f>
        <v>100353</v>
      </c>
      <c r="Q43" s="1" t="n">
        <f aca="false">IF(OR(B43="conv",B43="pw",B43="dw",B43="head"),G43*2*config!$B$2+I43*10,0)</f>
        <v>2688</v>
      </c>
    </row>
    <row r="44" customFormat="false" ht="15" hidden="false" customHeight="false" outlineLevel="0" collapsed="false">
      <c r="A44" s="3" t="s">
        <v>157</v>
      </c>
      <c r="B44" s="3" t="s">
        <v>101</v>
      </c>
      <c r="C44" s="3" t="n">
        <v>512</v>
      </c>
      <c r="D44" s="3" t="n">
        <v>256</v>
      </c>
      <c r="E44" s="3" t="n">
        <v>14</v>
      </c>
      <c r="F44" s="3" t="n">
        <v>14</v>
      </c>
      <c r="G44" s="1" t="n">
        <f aca="false">IF(OR(B44="conv",B44="pw",B44="head",B44="mm"),-INT(-C44/config!$B$2)*-INT(-D44/config!$B$2),IF(B44="dw",1,""))</f>
        <v>32</v>
      </c>
      <c r="H44" s="1" t="n">
        <f aca="false">IF(OR(B44="conv",B44="pw",B44="head",B44="mm",B44="dw"),C44*D44,"")</f>
        <v>131072</v>
      </c>
      <c r="I44" s="1" t="n">
        <f aca="false">IF(OR(B44="conv",B44="pw",B44="head",B44="mm",B44="dw",B44="pool"),C44,"")</f>
        <v>512</v>
      </c>
      <c r="J44" s="1" t="n">
        <f aca="false">IF(OR(B44="conv",B44="pw",B44="mm",B44="dw"),I44*E44*F44,0)</f>
        <v>100352</v>
      </c>
      <c r="K44" s="1" t="n">
        <f aca="false">IF(OR(B44="conv",B44="pw",B44="dw",B44="head"),C44,0)</f>
        <v>512</v>
      </c>
      <c r="L44" s="1" t="n">
        <f aca="false">IF(B44="dw",I44*config!$B$6+config!$B$16*config!$B$5+K44+config!$B$9,IF(B44="pool",I44*2+config!$B$9,IF(B44="dac",C44*config!$B$12,IF(B44="adc",C44*config!$B$13,IF(OR(B44="conv",B44="pw"),G44*config!$B$7+K44+config!$B$9,IF(B44="head",G44*config!$B$7+K44,""))))))</f>
        <v>25108</v>
      </c>
      <c r="M44" s="1" t="n">
        <v>0</v>
      </c>
      <c r="N44" s="1" t="n">
        <f aca="false">IF(OR(B44="conv",B44="pw",B44="head",B44="mm",B44="dw"),H44*2*mobilenetv1!$B$28*(1+config!$B$4),0)</f>
        <v>1258291.2</v>
      </c>
      <c r="O44" s="1" t="n">
        <f aca="false">IF(OR(B44="conv",B44="pw",B44="dw",B44="pool"),config!$B$10,IF(B44="adc",C44*config!$B$14,0))</f>
        <v>2</v>
      </c>
      <c r="P44" s="1" t="n">
        <f aca="false">IF(OR(B44="conv",B44="pw",B44="dw",B44="pool"),J44*2+config!$B$11,0)</f>
        <v>200705</v>
      </c>
      <c r="Q44" s="1" t="n">
        <f aca="false">IF(OR(B44="conv",B44="pw",B44="dw",B44="head"),G44*2*config!$B$2+I44*10,0)</f>
        <v>9216</v>
      </c>
    </row>
    <row r="45" customFormat="false" ht="15" hidden="false" customHeight="false" outlineLevel="0" collapsed="false">
      <c r="A45" s="3" t="s">
        <v>158</v>
      </c>
      <c r="B45" s="3" t="s">
        <v>99</v>
      </c>
      <c r="C45" s="3" t="n">
        <v>512</v>
      </c>
      <c r="D45" s="3" t="n">
        <v>9</v>
      </c>
      <c r="E45" s="3" t="n">
        <v>14</v>
      </c>
      <c r="F45" s="3" t="n">
        <v>14</v>
      </c>
      <c r="G45" s="1" t="n">
        <f aca="false">IF(OR(B45="conv",B45="pw",B45="head",B45="mm"),-INT(-C45/config!$B$2)*-INT(-D45/config!$B$2),IF(B45="dw",1,""))</f>
        <v>1</v>
      </c>
      <c r="H45" s="1" t="n">
        <f aca="false">IF(OR(B45="conv",B45="pw",B45="head",B45="mm",B45="dw"),C45*D45,"")</f>
        <v>4608</v>
      </c>
      <c r="I45" s="1" t="n">
        <f aca="false">IF(OR(B45="conv",B45="pw",B45="head",B45="mm",B45="dw",B45="pool"),C45,"")</f>
        <v>512</v>
      </c>
      <c r="J45" s="1" t="n">
        <f aca="false">IF(OR(B45="conv",B45="pw",B45="mm",B45="dw"),I45*E45*F45,0)</f>
        <v>100352</v>
      </c>
      <c r="K45" s="1" t="n">
        <f aca="false">IF(OR(B45="conv",B45="pw",B45="dw",B45="head"),C45,0)</f>
        <v>512</v>
      </c>
      <c r="L45" s="1" t="n">
        <f aca="false">IF(B45="dw",I45*config!$B$6+config!$B$16*config!$B$5+K45+config!$B$9,IF(B45="pool",I45*2+config!$B$9,IF(B45="dac",C45*config!$B$12,IF(B45="adc",C45*config!$B$13,IF(OR(B45="conv",B45="pw"),G45*config!$B$7+K45+config!$B$9,IF(B45="head",G45*config!$B$7+K45,""))))))</f>
        <v>5670</v>
      </c>
      <c r="M45" s="1" t="n">
        <v>0</v>
      </c>
      <c r="N45" s="1" t="n">
        <f aca="false">IF(OR(B45="conv",B45="pw",B45="head",B45="mm",B45="dw"),H45*2*mobilenetv1!$B$28*(1+config!$B$4),0)</f>
        <v>44236.8</v>
      </c>
      <c r="O45" s="1" t="n">
        <f aca="false">IF(OR(B45="conv",B45="pw",B45="dw",B45="pool"),config!$B$10,IF(B45="adc",C45*config!$B$14,0))</f>
        <v>2</v>
      </c>
      <c r="P45" s="1" t="n">
        <f aca="false">IF(OR(B45="conv",B45="pw",B45="dw",B45="pool"),J45*2+config!$B$11,0)</f>
        <v>200705</v>
      </c>
      <c r="Q45" s="1" t="n">
        <f aca="false">IF(OR(B45="conv",B45="pw",B45="dw",B45="head"),G45*2*config!$B$2+I45*10,0)</f>
        <v>5248</v>
      </c>
    </row>
    <row r="46" customFormat="false" ht="15" hidden="false" customHeight="false" outlineLevel="0" collapsed="false">
      <c r="A46" s="3" t="s">
        <v>159</v>
      </c>
      <c r="B46" s="3" t="s">
        <v>101</v>
      </c>
      <c r="C46" s="3" t="n">
        <v>512</v>
      </c>
      <c r="D46" s="3" t="n">
        <v>512</v>
      </c>
      <c r="E46" s="3" t="n">
        <v>14</v>
      </c>
      <c r="F46" s="3" t="n">
        <v>14</v>
      </c>
      <c r="G46" s="1" t="n">
        <f aca="false">IF(OR(B46="conv",B46="pw",B46="head",B46="mm"),-INT(-C46/config!$B$2)*-INT(-D46/config!$B$2),IF(B46="dw",1,""))</f>
        <v>64</v>
      </c>
      <c r="H46" s="1" t="n">
        <f aca="false">IF(OR(B46="conv",B46="pw",B46="head",B46="mm",B46="dw"),C46*D46,"")</f>
        <v>262144</v>
      </c>
      <c r="I46" s="1" t="n">
        <f aca="false">IF(OR(B46="conv",B46="pw",B46="head",B46="mm",B46="dw",B46="pool"),C46,"")</f>
        <v>512</v>
      </c>
      <c r="J46" s="1" t="n">
        <f aca="false">IF(OR(B46="conv",B46="pw",B46="mm",B46="dw"),I46*E46*F46,0)</f>
        <v>100352</v>
      </c>
      <c r="K46" s="1" t="n">
        <f aca="false">IF(OR(B46="conv",B46="pw",B46="dw",B46="head"),C46,0)</f>
        <v>512</v>
      </c>
      <c r="L46" s="1" t="n">
        <f aca="false">IF(B46="dw",I46*config!$B$6+config!$B$16*config!$B$5+K46+config!$B$9,IF(B46="pool",I46*2+config!$B$9,IF(B46="dac",C46*config!$B$12,IF(B46="adc",C46*config!$B$13,IF(OR(B46="conv",B46="pw"),G46*config!$B$7+K46+config!$B$9,IF(B46="head",G46*config!$B$7+K46,""))))))</f>
        <v>49684</v>
      </c>
      <c r="M46" s="1" t="n">
        <v>0</v>
      </c>
      <c r="N46" s="1" t="n">
        <f aca="false">IF(OR(B46="conv",B46="pw",B46="head",B46="mm",B46="dw"),H46*2*mobilenetv1!$B$28*(1+config!$B$4),0)</f>
        <v>2516582.4</v>
      </c>
      <c r="O46" s="1" t="n">
        <f aca="false">IF(OR(B46="conv",B46="pw",B46="dw",B46="pool"),config!$B$10,IF(B46="adc",C46*config!$B$14,0))</f>
        <v>2</v>
      </c>
      <c r="P46" s="1" t="n">
        <f aca="false">IF(OR(B46="conv",B46="pw",B46="dw",B46="pool"),J46*2+config!$B$11,0)</f>
        <v>200705</v>
      </c>
      <c r="Q46" s="1" t="n">
        <f aca="false">IF(OR(B46="conv",B46="pw",B46="dw",B46="head"),G46*2*config!$B$2+I46*10,0)</f>
        <v>13312</v>
      </c>
    </row>
    <row r="47" customFormat="false" ht="15" hidden="false" customHeight="false" outlineLevel="0" collapsed="false">
      <c r="A47" s="3" t="s">
        <v>160</v>
      </c>
      <c r="B47" s="3" t="s">
        <v>99</v>
      </c>
      <c r="C47" s="3" t="n">
        <v>512</v>
      </c>
      <c r="D47" s="3" t="n">
        <v>9</v>
      </c>
      <c r="E47" s="3" t="n">
        <v>7</v>
      </c>
      <c r="F47" s="3" t="n">
        <v>7</v>
      </c>
      <c r="G47" s="1" t="n">
        <f aca="false">IF(OR(B47="conv",B47="pw",B47="head",B47="mm"),-INT(-C47/config!$B$2)*-INT(-D47/config!$B$2),IF(B47="dw",1,""))</f>
        <v>1</v>
      </c>
      <c r="H47" s="1" t="n">
        <f aca="false">IF(OR(B47="conv",B47="pw",B47="head",B47="mm",B47="dw"),C47*D47,"")</f>
        <v>4608</v>
      </c>
      <c r="I47" s="1" t="n">
        <f aca="false">IF(OR(B47="conv",B47="pw",B47="head",B47="mm",B47="dw",B47="pool"),C47,"")</f>
        <v>512</v>
      </c>
      <c r="J47" s="1" t="n">
        <f aca="false">IF(OR(B47="conv",B47="pw",B47="mm",B47="dw"),I47*E47*F47,0)</f>
        <v>25088</v>
      </c>
      <c r="K47" s="1" t="n">
        <f aca="false">IF(OR(B47="conv",B47="pw",B47="dw",B47="head"),C47,0)</f>
        <v>512</v>
      </c>
      <c r="L47" s="1" t="n">
        <f aca="false">IF(B47="dw",I47*config!$B$6+config!$B$16*config!$B$5+K47+config!$B$9,IF(B47="pool",I47*2+config!$B$9,IF(B47="dac",C47*config!$B$12,IF(B47="adc",C47*config!$B$13,IF(OR(B47="conv",B47="pw"),G47*config!$B$7+K47+config!$B$9,IF(B47="head",G47*config!$B$7+K47,""))))))</f>
        <v>5670</v>
      </c>
      <c r="M47" s="1" t="n">
        <v>0</v>
      </c>
      <c r="N47" s="1" t="n">
        <f aca="false">IF(OR(B47="conv",B47="pw",B47="head",B47="mm",B47="dw"),H47*2*mobilenetv1!$B$28*(1+config!$B$4),0)</f>
        <v>44236.8</v>
      </c>
      <c r="O47" s="1" t="n">
        <f aca="false">IF(OR(B47="conv",B47="pw",B47="dw",B47="pool"),config!$B$10,IF(B47="adc",C47*config!$B$14,0))</f>
        <v>2</v>
      </c>
      <c r="P47" s="1" t="n">
        <f aca="false">IF(OR(B47="conv",B47="pw",B47="dw",B47="pool"),J47*2+config!$B$11,0)</f>
        <v>50177</v>
      </c>
      <c r="Q47" s="1" t="n">
        <f aca="false">IF(OR(B47="conv",B47="pw",B47="dw",B47="head"),G47*2*config!$B$2+I47*10,0)</f>
        <v>5248</v>
      </c>
    </row>
    <row r="48" customFormat="false" ht="15" hidden="false" customHeight="false" outlineLevel="0" collapsed="false">
      <c r="A48" s="3" t="s">
        <v>161</v>
      </c>
      <c r="B48" s="3" t="s">
        <v>101</v>
      </c>
      <c r="C48" s="3" t="n">
        <v>512</v>
      </c>
      <c r="D48" s="3" t="n">
        <v>512</v>
      </c>
      <c r="E48" s="3" t="n">
        <v>7</v>
      </c>
      <c r="F48" s="3" t="n">
        <v>7</v>
      </c>
      <c r="G48" s="1" t="n">
        <f aca="false">IF(OR(B48="conv",B48="pw",B48="head",B48="mm"),-INT(-C48/config!$B$2)*-INT(-D48/config!$B$2),IF(B48="dw",1,""))</f>
        <v>64</v>
      </c>
      <c r="H48" s="1" t="n">
        <f aca="false">IF(OR(B48="conv",B48="pw",B48="head",B48="mm",B48="dw"),C48*D48,"")</f>
        <v>262144</v>
      </c>
      <c r="I48" s="1" t="n">
        <f aca="false">IF(OR(B48="conv",B48="pw",B48="head",B48="mm",B48="dw",B48="pool"),C48,"")</f>
        <v>512</v>
      </c>
      <c r="J48" s="1" t="n">
        <f aca="false">IF(OR(B48="conv",B48="pw",B48="mm",B48="dw"),I48*E48*F48,0)</f>
        <v>25088</v>
      </c>
      <c r="K48" s="1" t="n">
        <f aca="false">IF(OR(B48="conv",B48="pw",B48="dw",B48="head"),C48,0)</f>
        <v>512</v>
      </c>
      <c r="L48" s="1" t="n">
        <f aca="false">IF(B48="dw",I48*config!$B$6+config!$B$16*config!$B$5+K48+config!$B$9,IF(B48="pool",I48*2+config!$B$9,IF(B48="dac",C48*config!$B$12,IF(B48="adc",C48*config!$B$13,IF(OR(B48="conv",B48="pw"),G48*config!$B$7+K48+config!$B$9,IF(B48="head",G48*config!$B$7+K48,""))))))</f>
        <v>49684</v>
      </c>
      <c r="M48" s="1" t="n">
        <v>0</v>
      </c>
      <c r="N48" s="1" t="n">
        <f aca="false">IF(OR(B48="conv",B48="pw",B48="head",B48="mm",B48="dw"),H48*2*mobilenetv1!$B$28*(1+config!$B$4),0)</f>
        <v>2516582.4</v>
      </c>
      <c r="O48" s="1" t="n">
        <f aca="false">IF(OR(B48="conv",B48="pw",B48="dw",B48="pool"),config!$B$10,IF(B48="adc",C48*config!$B$14,0))</f>
        <v>2</v>
      </c>
      <c r="P48" s="1" t="n">
        <f aca="false">IF(OR(B48="conv",B48="pw",B48="dw",B48="pool"),J48*2+config!$B$11,0)</f>
        <v>50177</v>
      </c>
      <c r="Q48" s="1" t="n">
        <f aca="false">IF(OR(B48="conv",B48="pw",B48="dw",B48="head"),G48*2*config!$B$2+I48*10,0)</f>
        <v>13312</v>
      </c>
    </row>
    <row r="49" customFormat="false" ht="15" hidden="false" customHeight="false" outlineLevel="0" collapsed="false">
      <c r="A49" s="3" t="s">
        <v>162</v>
      </c>
      <c r="B49" s="3" t="s">
        <v>99</v>
      </c>
      <c r="C49" s="3" t="n">
        <v>512</v>
      </c>
      <c r="D49" s="3" t="n">
        <v>9</v>
      </c>
      <c r="E49" s="3" t="n">
        <v>7</v>
      </c>
      <c r="F49" s="3" t="n">
        <v>7</v>
      </c>
      <c r="G49" s="1" t="n">
        <f aca="false">IF(OR(B49="conv",B49="pw",B49="head",B49="mm"),-INT(-C49/config!$B$2)*-INT(-D49/config!$B$2),IF(B49="dw",1,""))</f>
        <v>1</v>
      </c>
      <c r="H49" s="1" t="n">
        <f aca="false">IF(OR(B49="conv",B49="pw",B49="head",B49="mm",B49="dw"),C49*D49,"")</f>
        <v>4608</v>
      </c>
      <c r="I49" s="1" t="n">
        <f aca="false">IF(OR(B49="conv",B49="pw",B49="head",B49="mm",B49="dw",B49="pool"),C49,"")</f>
        <v>512</v>
      </c>
      <c r="J49" s="1" t="n">
        <f aca="false">IF(OR(B49="conv",B49="pw",B49="mm",B49="dw"),I49*E49*F49,0)</f>
        <v>25088</v>
      </c>
      <c r="K49" s="1" t="n">
        <f aca="false">IF(OR(B49="conv",B49="pw",B49="dw",B49="head"),C49,0)</f>
        <v>512</v>
      </c>
      <c r="L49" s="1" t="n">
        <f aca="false">IF(B49="dw",I49*config!$B$6+config!$B$16*config!$B$5+K49+config!$B$9,IF(B49="pool",I49*2+config!$B$9,IF(B49="dac",C49*config!$B$12,IF(B49="adc",C49*config!$B$13,IF(OR(B49="conv",B49="pw"),G49*config!$B$7+K49+config!$B$9,IF(B49="head",G49*config!$B$7+K49,""))))))</f>
        <v>5670</v>
      </c>
      <c r="M49" s="1" t="n">
        <v>0</v>
      </c>
      <c r="N49" s="1" t="n">
        <f aca="false">IF(OR(B49="conv",B49="pw",B49="head",B49="mm",B49="dw"),H49*2*mobilenetv1!$B$28*(1+config!$B$4),0)</f>
        <v>44236.8</v>
      </c>
      <c r="O49" s="1" t="n">
        <f aca="false">IF(OR(B49="conv",B49="pw",B49="dw",B49="pool"),config!$B$10,IF(B49="adc",C49*config!$B$14,0))</f>
        <v>2</v>
      </c>
      <c r="P49" s="1" t="n">
        <f aca="false">IF(OR(B49="conv",B49="pw",B49="dw",B49="pool"),J49*2+config!$B$11,0)</f>
        <v>50177</v>
      </c>
      <c r="Q49" s="1" t="n">
        <f aca="false">IF(OR(B49="conv",B49="pw",B49="dw",B49="head"),G49*2*config!$B$2+I49*10,0)</f>
        <v>5248</v>
      </c>
    </row>
    <row r="50" customFormat="false" ht="15" hidden="false" customHeight="false" outlineLevel="0" collapsed="false">
      <c r="A50" s="3" t="s">
        <v>163</v>
      </c>
      <c r="B50" s="3" t="s">
        <v>101</v>
      </c>
      <c r="C50" s="3" t="n">
        <v>512</v>
      </c>
      <c r="D50" s="3" t="n">
        <v>512</v>
      </c>
      <c r="E50" s="3" t="n">
        <v>7</v>
      </c>
      <c r="F50" s="3" t="n">
        <v>7</v>
      </c>
      <c r="G50" s="1" t="n">
        <f aca="false">IF(OR(B50="conv",B50="pw",B50="head",B50="mm"),-INT(-C50/config!$B$2)*-INT(-D50/config!$B$2),IF(B50="dw",1,""))</f>
        <v>64</v>
      </c>
      <c r="H50" s="1" t="n">
        <f aca="false">IF(OR(B50="conv",B50="pw",B50="head",B50="mm",B50="dw"),C50*D50,"")</f>
        <v>262144</v>
      </c>
      <c r="I50" s="1" t="n">
        <f aca="false">IF(OR(B50="conv",B50="pw",B50="head",B50="mm",B50="dw",B50="pool"),C50,"")</f>
        <v>512</v>
      </c>
      <c r="J50" s="1" t="n">
        <f aca="false">IF(OR(B50="conv",B50="pw",B50="mm",B50="dw"),I50*E50*F50,0)</f>
        <v>25088</v>
      </c>
      <c r="K50" s="1" t="n">
        <f aca="false">IF(OR(B50="conv",B50="pw",B50="dw",B50="head"),C50,0)</f>
        <v>512</v>
      </c>
      <c r="L50" s="1" t="n">
        <f aca="false">IF(B50="dw",I50*config!$B$6+config!$B$16*config!$B$5+K50+config!$B$9,IF(B50="pool",I50*2+config!$B$9,IF(B50="dac",C50*config!$B$12,IF(B50="adc",C50*config!$B$13,IF(OR(B50="conv",B50="pw"),G50*config!$B$7+K50+config!$B$9,IF(B50="head",G50*config!$B$7+K50,""))))))</f>
        <v>49684</v>
      </c>
      <c r="M50" s="1" t="n">
        <v>0</v>
      </c>
      <c r="N50" s="1" t="n">
        <f aca="false">IF(OR(B50="conv",B50="pw",B50="head",B50="mm",B50="dw"),H50*2*mobilenetv1!$B$28*(1+config!$B$4),0)</f>
        <v>2516582.4</v>
      </c>
      <c r="O50" s="1" t="n">
        <f aca="false">IF(OR(B50="conv",B50="pw",B50="dw",B50="pool"),config!$B$10,IF(B50="adc",C50*config!$B$14,0))</f>
        <v>2</v>
      </c>
      <c r="P50" s="1" t="n">
        <f aca="false">IF(OR(B50="conv",B50="pw",B50="dw",B50="pool"),J50*2+config!$B$11,0)</f>
        <v>50177</v>
      </c>
      <c r="Q50" s="1" t="n">
        <f aca="false">IF(OR(B50="conv",B50="pw",B50="dw",B50="head"),G50*2*config!$B$2+I50*10,0)</f>
        <v>13312</v>
      </c>
    </row>
    <row r="51" customFormat="false" ht="15" hidden="false" customHeight="false" outlineLevel="0" collapsed="false">
      <c r="A51" s="3" t="s">
        <v>164</v>
      </c>
      <c r="B51" s="3" t="s">
        <v>99</v>
      </c>
      <c r="C51" s="3" t="n">
        <v>512</v>
      </c>
      <c r="D51" s="3" t="n">
        <v>9</v>
      </c>
      <c r="E51" s="3" t="n">
        <v>7</v>
      </c>
      <c r="F51" s="3" t="n">
        <v>7</v>
      </c>
      <c r="G51" s="1" t="n">
        <f aca="false">IF(OR(B51="conv",B51="pw",B51="head",B51="mm"),-INT(-C51/config!$B$2)*-INT(-D51/config!$B$2),IF(B51="dw",1,""))</f>
        <v>1</v>
      </c>
      <c r="H51" s="1" t="n">
        <f aca="false">IF(OR(B51="conv",B51="pw",B51="head",B51="mm",B51="dw"),C51*D51,"")</f>
        <v>4608</v>
      </c>
      <c r="I51" s="1" t="n">
        <f aca="false">IF(OR(B51="conv",B51="pw",B51="head",B51="mm",B51="dw",B51="pool"),C51,"")</f>
        <v>512</v>
      </c>
      <c r="J51" s="1" t="n">
        <f aca="false">IF(OR(B51="conv",B51="pw",B51="mm",B51="dw"),I51*E51*F51,0)</f>
        <v>25088</v>
      </c>
      <c r="K51" s="1" t="n">
        <f aca="false">IF(OR(B51="conv",B51="pw",B51="dw",B51="head"),C51,0)</f>
        <v>512</v>
      </c>
      <c r="L51" s="1" t="n">
        <f aca="false">IF(B51="dw",I51*config!$B$6+config!$B$16*config!$B$5+K51+config!$B$9,IF(B51="pool",I51*2+config!$B$9,IF(B51="dac",C51*config!$B$12,IF(B51="adc",C51*config!$B$13,IF(OR(B51="conv",B51="pw"),G51*config!$B$7+K51+config!$B$9,IF(B51="head",G51*config!$B$7+K51,""))))))</f>
        <v>5670</v>
      </c>
      <c r="M51" s="1" t="n">
        <v>0</v>
      </c>
      <c r="N51" s="1" t="n">
        <f aca="false">IF(OR(B51="conv",B51="pw",B51="head",B51="mm",B51="dw"),H51*2*mobilenetv1!$B$28*(1+config!$B$4),0)</f>
        <v>44236.8</v>
      </c>
      <c r="O51" s="1" t="n">
        <f aca="false">IF(OR(B51="conv",B51="pw",B51="dw",B51="pool"),config!$B$10,IF(B51="adc",C51*config!$B$14,0))</f>
        <v>2</v>
      </c>
      <c r="P51" s="1" t="n">
        <f aca="false">IF(OR(B51="conv",B51="pw",B51="dw",B51="pool"),J51*2+config!$B$11,0)</f>
        <v>50177</v>
      </c>
      <c r="Q51" s="1" t="n">
        <f aca="false">IF(OR(B51="conv",B51="pw",B51="dw",B51="head"),G51*2*config!$B$2+I51*10,0)</f>
        <v>5248</v>
      </c>
    </row>
    <row r="52" customFormat="false" ht="15" hidden="false" customHeight="false" outlineLevel="0" collapsed="false">
      <c r="A52" s="3" t="s">
        <v>165</v>
      </c>
      <c r="B52" s="3" t="s">
        <v>101</v>
      </c>
      <c r="C52" s="3" t="n">
        <v>512</v>
      </c>
      <c r="D52" s="3" t="n">
        <v>512</v>
      </c>
      <c r="E52" s="3" t="n">
        <v>7</v>
      </c>
      <c r="F52" s="3" t="n">
        <v>7</v>
      </c>
      <c r="G52" s="1" t="n">
        <f aca="false">IF(OR(B52="conv",B52="pw",B52="head",B52="mm"),-INT(-C52/config!$B$2)*-INT(-D52/config!$B$2),IF(B52="dw",1,""))</f>
        <v>64</v>
      </c>
      <c r="H52" s="1" t="n">
        <f aca="false">IF(OR(B52="conv",B52="pw",B52="head",B52="mm",B52="dw"),C52*D52,"")</f>
        <v>262144</v>
      </c>
      <c r="I52" s="1" t="n">
        <f aca="false">IF(OR(B52="conv",B52="pw",B52="head",B52="mm",B52="dw",B52="pool"),C52,"")</f>
        <v>512</v>
      </c>
      <c r="J52" s="1" t="n">
        <f aca="false">IF(OR(B52="conv",B52="pw",B52="mm",B52="dw"),I52*E52*F52,0)</f>
        <v>25088</v>
      </c>
      <c r="K52" s="1" t="n">
        <f aca="false">IF(OR(B52="conv",B52="pw",B52="dw",B52="head"),C52,0)</f>
        <v>512</v>
      </c>
      <c r="L52" s="1" t="n">
        <f aca="false">IF(B52="dw",I52*config!$B$6+config!$B$16*config!$B$5+K52+config!$B$9,IF(B52="pool",I52*2+config!$B$9,IF(B52="dac",C52*config!$B$12,IF(B52="adc",C52*config!$B$13,IF(OR(B52="conv",B52="pw"),G52*config!$B$7+K52+config!$B$9,IF(B52="head",G52*config!$B$7+K52,""))))))</f>
        <v>49684</v>
      </c>
      <c r="M52" s="1" t="n">
        <v>0</v>
      </c>
      <c r="N52" s="1" t="n">
        <f aca="false">IF(OR(B52="conv",B52="pw",B52="head",B52="mm",B52="dw"),H52*2*mobilenetv1!$B$28*(1+config!$B$4),0)</f>
        <v>2516582.4</v>
      </c>
      <c r="O52" s="1" t="n">
        <f aca="false">IF(OR(B52="conv",B52="pw",B52="dw",B52="pool"),config!$B$10,IF(B52="adc",C52*config!$B$14,0))</f>
        <v>2</v>
      </c>
      <c r="P52" s="1" t="n">
        <f aca="false">IF(OR(B52="conv",B52="pw",B52="dw",B52="pool"),J52*2+config!$B$11,0)</f>
        <v>50177</v>
      </c>
      <c r="Q52" s="1" t="n">
        <f aca="false">IF(OR(B52="conv",B52="pw",B52="dw",B52="head"),G52*2*config!$B$2+I52*10,0)</f>
        <v>13312</v>
      </c>
    </row>
    <row r="53" customFormat="false" ht="15" hidden="false" customHeight="false" outlineLevel="0" collapsed="false">
      <c r="A53" s="3" t="s">
        <v>166</v>
      </c>
      <c r="B53" s="3" t="s">
        <v>99</v>
      </c>
      <c r="C53" s="3" t="n">
        <v>512</v>
      </c>
      <c r="D53" s="3" t="n">
        <v>9</v>
      </c>
      <c r="E53" s="3" t="n">
        <v>7</v>
      </c>
      <c r="F53" s="3" t="n">
        <v>7</v>
      </c>
      <c r="G53" s="1" t="n">
        <f aca="false">IF(OR(B53="conv",B53="pw",B53="head",B53="mm"),-INT(-C53/config!$B$2)*-INT(-D53/config!$B$2),IF(B53="dw",1,""))</f>
        <v>1</v>
      </c>
      <c r="H53" s="1" t="n">
        <f aca="false">IF(OR(B53="conv",B53="pw",B53="head",B53="mm",B53="dw"),C53*D53,"")</f>
        <v>4608</v>
      </c>
      <c r="I53" s="1" t="n">
        <f aca="false">IF(OR(B53="conv",B53="pw",B53="head",B53="mm",B53="dw",B53="pool"),C53,"")</f>
        <v>512</v>
      </c>
      <c r="J53" s="1" t="n">
        <f aca="false">IF(OR(B53="conv",B53="pw",B53="mm",B53="dw"),I53*E53*F53,0)</f>
        <v>25088</v>
      </c>
      <c r="K53" s="1" t="n">
        <f aca="false">IF(OR(B53="conv",B53="pw",B53="dw",B53="head"),C53,0)</f>
        <v>512</v>
      </c>
      <c r="L53" s="1" t="n">
        <f aca="false">IF(B53="dw",I53*config!$B$6+config!$B$16*config!$B$5+K53+config!$B$9,IF(B53="pool",I53*2+config!$B$9,IF(B53="dac",C53*config!$B$12,IF(B53="adc",C53*config!$B$13,IF(OR(B53="conv",B53="pw"),G53*config!$B$7+K53+config!$B$9,IF(B53="head",G53*config!$B$7+K53,""))))))</f>
        <v>5670</v>
      </c>
      <c r="M53" s="1" t="n">
        <v>0</v>
      </c>
      <c r="N53" s="1" t="n">
        <f aca="false">IF(OR(B53="conv",B53="pw",B53="head",B53="mm",B53="dw"),H53*2*mobilenetv1!$B$28*(1+config!$B$4),0)</f>
        <v>44236.8</v>
      </c>
      <c r="O53" s="1" t="n">
        <f aca="false">IF(OR(B53="conv",B53="pw",B53="dw",B53="pool"),config!$B$10,IF(B53="adc",C53*config!$B$14,0))</f>
        <v>2</v>
      </c>
      <c r="P53" s="1" t="n">
        <f aca="false">IF(OR(B53="conv",B53="pw",B53="dw",B53="pool"),J53*2+config!$B$11,0)</f>
        <v>50177</v>
      </c>
      <c r="Q53" s="1" t="n">
        <f aca="false">IF(OR(B53="conv",B53="pw",B53="dw",B53="head"),G53*2*config!$B$2+I53*10,0)</f>
        <v>5248</v>
      </c>
    </row>
    <row r="54" customFormat="false" ht="15" hidden="false" customHeight="false" outlineLevel="0" collapsed="false">
      <c r="A54" s="3" t="s">
        <v>167</v>
      </c>
      <c r="B54" s="3" t="s">
        <v>101</v>
      </c>
      <c r="C54" s="3" t="n">
        <v>512</v>
      </c>
      <c r="D54" s="3" t="n">
        <v>512</v>
      </c>
      <c r="E54" s="3" t="n">
        <v>7</v>
      </c>
      <c r="F54" s="3" t="n">
        <v>7</v>
      </c>
      <c r="G54" s="1" t="n">
        <f aca="false">IF(OR(B54="conv",B54="pw",B54="head",B54="mm"),-INT(-C54/config!$B$2)*-INT(-D54/config!$B$2),IF(B54="dw",1,""))</f>
        <v>64</v>
      </c>
      <c r="H54" s="1" t="n">
        <f aca="false">IF(OR(B54="conv",B54="pw",B54="head",B54="mm",B54="dw"),C54*D54,"")</f>
        <v>262144</v>
      </c>
      <c r="I54" s="1" t="n">
        <f aca="false">IF(OR(B54="conv",B54="pw",B54="head",B54="mm",B54="dw",B54="pool"),C54,"")</f>
        <v>512</v>
      </c>
      <c r="J54" s="1" t="n">
        <f aca="false">IF(OR(B54="conv",B54="pw",B54="mm",B54="dw"),I54*E54*F54,0)</f>
        <v>25088</v>
      </c>
      <c r="K54" s="1" t="n">
        <f aca="false">IF(OR(B54="conv",B54="pw",B54="dw",B54="head"),C54,0)</f>
        <v>512</v>
      </c>
      <c r="L54" s="1" t="n">
        <f aca="false">IF(B54="dw",I54*config!$B$6+config!$B$16*config!$B$5+K54+config!$B$9,IF(B54="pool",I54*2+config!$B$9,IF(B54="dac",C54*config!$B$12,IF(B54="adc",C54*config!$B$13,IF(OR(B54="conv",B54="pw"),G54*config!$B$7+K54+config!$B$9,IF(B54="head",G54*config!$B$7+K54,""))))))</f>
        <v>49684</v>
      </c>
      <c r="M54" s="1" t="n">
        <v>0</v>
      </c>
      <c r="N54" s="1" t="n">
        <f aca="false">IF(OR(B54="conv",B54="pw",B54="head",B54="mm",B54="dw"),H54*2*mobilenetv1!$B$28*(1+config!$B$4),0)</f>
        <v>2516582.4</v>
      </c>
      <c r="O54" s="1" t="n">
        <f aca="false">IF(OR(B54="conv",B54="pw",B54="dw",B54="pool"),config!$B$10,IF(B54="adc",C54*config!$B$14,0))</f>
        <v>2</v>
      </c>
      <c r="P54" s="1" t="n">
        <f aca="false">IF(OR(B54="conv",B54="pw",B54="dw",B54="pool"),J54*2+config!$B$11,0)</f>
        <v>50177</v>
      </c>
      <c r="Q54" s="1" t="n">
        <f aca="false">IF(OR(B54="conv",B54="pw",B54="dw",B54="head"),G54*2*config!$B$2+I54*10,0)</f>
        <v>13312</v>
      </c>
    </row>
    <row r="55" customFormat="false" ht="15" hidden="false" customHeight="false" outlineLevel="0" collapsed="false">
      <c r="A55" s="3" t="s">
        <v>168</v>
      </c>
      <c r="B55" s="3" t="s">
        <v>99</v>
      </c>
      <c r="C55" s="3" t="n">
        <v>512</v>
      </c>
      <c r="D55" s="3" t="n">
        <v>9</v>
      </c>
      <c r="E55" s="3" t="n">
        <v>7</v>
      </c>
      <c r="F55" s="3" t="n">
        <v>7</v>
      </c>
      <c r="G55" s="1" t="n">
        <f aca="false">IF(OR(B55="conv",B55="pw",B55="head",B55="mm"),-INT(-C55/config!$B$2)*-INT(-D55/config!$B$2),IF(B55="dw",1,""))</f>
        <v>1</v>
      </c>
      <c r="H55" s="1" t="n">
        <f aca="false">IF(OR(B55="conv",B55="pw",B55="head",B55="mm",B55="dw"),C55*D55,"")</f>
        <v>4608</v>
      </c>
      <c r="I55" s="1" t="n">
        <f aca="false">IF(OR(B55="conv",B55="pw",B55="head",B55="mm",B55="dw",B55="pool"),C55,"")</f>
        <v>512</v>
      </c>
      <c r="J55" s="1" t="n">
        <f aca="false">IF(OR(B55="conv",B55="pw",B55="mm",B55="dw"),I55*E55*F55,0)</f>
        <v>25088</v>
      </c>
      <c r="K55" s="1" t="n">
        <f aca="false">IF(OR(B55="conv",B55="pw",B55="dw",B55="head"),C55,0)</f>
        <v>512</v>
      </c>
      <c r="L55" s="1" t="n">
        <f aca="false">IF(B55="dw",I55*config!$B$6+config!$B$16*config!$B$5+K55+config!$B$9,IF(B55="pool",I55*2+config!$B$9,IF(B55="dac",C55*config!$B$12,IF(B55="adc",C55*config!$B$13,IF(OR(B55="conv",B55="pw"),G55*config!$B$7+K55+config!$B$9,IF(B55="head",G55*config!$B$7+K55,""))))))</f>
        <v>5670</v>
      </c>
      <c r="M55" s="1" t="n">
        <v>0</v>
      </c>
      <c r="N55" s="1" t="n">
        <f aca="false">IF(OR(B55="conv",B55="pw",B55="head",B55="mm",B55="dw"),H55*2*mobilenetv1!$B$28*(1+config!$B$4),0)</f>
        <v>44236.8</v>
      </c>
      <c r="O55" s="1" t="n">
        <f aca="false">IF(OR(B55="conv",B55="pw",B55="dw",B55="pool"),config!$B$10,IF(B55="adc",C55*config!$B$14,0))</f>
        <v>2</v>
      </c>
      <c r="P55" s="1" t="n">
        <f aca="false">IF(OR(B55="conv",B55="pw",B55="dw",B55="pool"),J55*2+config!$B$11,0)</f>
        <v>50177</v>
      </c>
      <c r="Q55" s="1" t="n">
        <f aca="false">IF(OR(B55="conv",B55="pw",B55="dw",B55="head"),G55*2*config!$B$2+I55*10,0)</f>
        <v>5248</v>
      </c>
    </row>
    <row r="56" customFormat="false" ht="15" hidden="false" customHeight="false" outlineLevel="0" collapsed="false">
      <c r="A56" s="3" t="s">
        <v>169</v>
      </c>
      <c r="B56" s="3" t="s">
        <v>101</v>
      </c>
      <c r="C56" s="3" t="n">
        <v>1024</v>
      </c>
      <c r="D56" s="3" t="n">
        <v>512</v>
      </c>
      <c r="E56" s="3" t="n">
        <v>7</v>
      </c>
      <c r="F56" s="3" t="n">
        <v>7</v>
      </c>
      <c r="G56" s="1" t="n">
        <f aca="false">IF(OR(B56="conv",B56="pw",B56="head",B56="mm"),-INT(-C56/config!$B$2)*-INT(-D56/config!$B$2),IF(B56="dw",1,""))</f>
        <v>128</v>
      </c>
      <c r="H56" s="1" t="n">
        <f aca="false">IF(OR(B56="conv",B56="pw",B56="head",B56="mm",B56="dw"),C56*D56,"")</f>
        <v>524288</v>
      </c>
      <c r="I56" s="1" t="n">
        <f aca="false">IF(OR(B56="conv",B56="pw",B56="head",B56="mm",B56="dw",B56="pool"),C56,"")</f>
        <v>1024</v>
      </c>
      <c r="J56" s="1" t="n">
        <f aca="false">IF(OR(B56="conv",B56="pw",B56="mm",B56="dw"),I56*E56*F56,0)</f>
        <v>50176</v>
      </c>
      <c r="K56" s="1" t="n">
        <f aca="false">IF(OR(B56="conv",B56="pw",B56="dw",B56="head"),C56,0)</f>
        <v>1024</v>
      </c>
      <c r="L56" s="1" t="n">
        <f aca="false">IF(B56="dw",I56*config!$B$6+config!$B$16*config!$B$5+K56+config!$B$9,IF(B56="pool",I56*2+config!$B$9,IF(B56="dac",C56*config!$B$12,IF(B56="adc",C56*config!$B$13,IF(OR(B56="conv",B56="pw"),G56*config!$B$7+K56+config!$B$9,IF(B56="head",G56*config!$B$7+K56,""))))))</f>
        <v>99348</v>
      </c>
      <c r="M56" s="1" t="n">
        <v>0</v>
      </c>
      <c r="N56" s="1" t="n">
        <f aca="false">IF(OR(B56="conv",B56="pw",B56="head",B56="mm",B56="dw"),H56*2*mobilenetv1!$B$28*(1+config!$B$4),0)</f>
        <v>5033164.8</v>
      </c>
      <c r="O56" s="1" t="n">
        <f aca="false">IF(OR(B56="conv",B56="pw",B56="dw",B56="pool"),config!$B$10,IF(B56="adc",C56*config!$B$14,0))</f>
        <v>2</v>
      </c>
      <c r="P56" s="1" t="n">
        <f aca="false">IF(OR(B56="conv",B56="pw",B56="dw",B56="pool"),J56*2+config!$B$11,0)</f>
        <v>100353</v>
      </c>
      <c r="Q56" s="1" t="n">
        <f aca="false">IF(OR(B56="conv",B56="pw",B56="dw",B56="head"),G56*2*config!$B$2+I56*10,0)</f>
        <v>26624</v>
      </c>
    </row>
    <row r="57" customFormat="false" ht="15" hidden="false" customHeight="false" outlineLevel="0" collapsed="false">
      <c r="A57" s="3" t="s">
        <v>170</v>
      </c>
      <c r="B57" s="3" t="s">
        <v>99</v>
      </c>
      <c r="C57" s="3" t="n">
        <v>1024</v>
      </c>
      <c r="D57" s="3" t="n">
        <v>9</v>
      </c>
      <c r="E57" s="3" t="n">
        <v>7</v>
      </c>
      <c r="F57" s="3" t="n">
        <v>7</v>
      </c>
      <c r="G57" s="1" t="n">
        <f aca="false">IF(OR(B57="conv",B57="pw",B57="head",B57="mm"),-INT(-C57/config!$B$2)*-INT(-D57/config!$B$2),IF(B57="dw",1,""))</f>
        <v>1</v>
      </c>
      <c r="H57" s="1" t="n">
        <f aca="false">IF(OR(B57="conv",B57="pw",B57="head",B57="mm",B57="dw"),C57*D57,"")</f>
        <v>9216</v>
      </c>
      <c r="I57" s="1" t="n">
        <f aca="false">IF(OR(B57="conv",B57="pw",B57="head",B57="mm",B57="dw",B57="pool"),C57,"")</f>
        <v>1024</v>
      </c>
      <c r="J57" s="1" t="n">
        <f aca="false">IF(OR(B57="conv",B57="pw",B57="mm",B57="dw"),I57*E57*F57,0)</f>
        <v>50176</v>
      </c>
      <c r="K57" s="1" t="n">
        <f aca="false">IF(OR(B57="conv",B57="pw",B57="dw",B57="head"),C57,0)</f>
        <v>1024</v>
      </c>
      <c r="L57" s="1" t="n">
        <f aca="false">IF(B57="dw",I57*config!$B$6+config!$B$16*config!$B$5+K57+config!$B$9,IF(B57="pool",I57*2+config!$B$9,IF(B57="dac",C57*config!$B$12,IF(B57="adc",C57*config!$B$13,IF(OR(B57="conv",B57="pw"),G57*config!$B$7+K57+config!$B$9,IF(B57="head",G57*config!$B$7+K57,""))))))</f>
        <v>11302</v>
      </c>
      <c r="M57" s="1" t="n">
        <v>0</v>
      </c>
      <c r="N57" s="1" t="n">
        <f aca="false">IF(OR(B57="conv",B57="pw",B57="head",B57="mm",B57="dw"),H57*2*mobilenetv1!$B$28*(1+config!$B$4),0)</f>
        <v>88473.6</v>
      </c>
      <c r="O57" s="1" t="n">
        <f aca="false">IF(OR(B57="conv",B57="pw",B57="dw",B57="pool"),config!$B$10,IF(B57="adc",C57*config!$B$14,0))</f>
        <v>2</v>
      </c>
      <c r="P57" s="1" t="n">
        <f aca="false">IF(OR(B57="conv",B57="pw",B57="dw",B57="pool"),J57*2+config!$B$11,0)</f>
        <v>100353</v>
      </c>
      <c r="Q57" s="1" t="n">
        <f aca="false">IF(OR(B57="conv",B57="pw",B57="dw",B57="head"),G57*2*config!$B$2+I57*10,0)</f>
        <v>10368</v>
      </c>
    </row>
    <row r="58" customFormat="false" ht="15" hidden="false" customHeight="false" outlineLevel="0" collapsed="false">
      <c r="A58" s="3" t="s">
        <v>171</v>
      </c>
      <c r="B58" s="3" t="s">
        <v>101</v>
      </c>
      <c r="C58" s="3" t="n">
        <v>1024</v>
      </c>
      <c r="D58" s="3" t="n">
        <v>1024</v>
      </c>
      <c r="E58" s="3" t="n">
        <v>7</v>
      </c>
      <c r="F58" s="3" t="n">
        <v>7</v>
      </c>
      <c r="G58" s="1" t="n">
        <f aca="false">IF(OR(B58="conv",B58="pw",B58="head",B58="mm"),-INT(-C58/config!$B$2)*-INT(-D58/config!$B$2),IF(B58="dw",1,""))</f>
        <v>256</v>
      </c>
      <c r="H58" s="1" t="n">
        <f aca="false">IF(OR(B58="conv",B58="pw",B58="head",B58="mm",B58="dw"),C58*D58,"")</f>
        <v>1048576</v>
      </c>
      <c r="I58" s="1" t="n">
        <f aca="false">IF(OR(B58="conv",B58="pw",B58="head",B58="mm",B58="dw",B58="pool"),C58,"")</f>
        <v>1024</v>
      </c>
      <c r="J58" s="1" t="n">
        <f aca="false">IF(OR(B58="conv",B58="pw",B58="mm",B58="dw"),I58*E58*F58,0)</f>
        <v>50176</v>
      </c>
      <c r="K58" s="1" t="n">
        <f aca="false">IF(OR(B58="conv",B58="pw",B58="dw",B58="head"),C58,0)</f>
        <v>1024</v>
      </c>
      <c r="L58" s="1" t="n">
        <f aca="false">IF(B58="dw",I58*config!$B$6+config!$B$16*config!$B$5+K58+config!$B$9,IF(B58="pool",I58*2+config!$B$9,IF(B58="dac",C58*config!$B$12,IF(B58="adc",C58*config!$B$13,IF(OR(B58="conv",B58="pw"),G58*config!$B$7+K58+config!$B$9,IF(B58="head",G58*config!$B$7+K58,""))))))</f>
        <v>197652</v>
      </c>
      <c r="M58" s="1" t="n">
        <v>0</v>
      </c>
      <c r="N58" s="1" t="n">
        <f aca="false">IF(OR(B58="conv",B58="pw",B58="head",B58="mm",B58="dw"),H58*2*mobilenetv1!$B$28*(1+config!$B$4),0)</f>
        <v>10066329.6</v>
      </c>
      <c r="O58" s="1" t="n">
        <f aca="false">IF(OR(B58="conv",B58="pw",B58="dw",B58="pool"),config!$B$10,IF(B58="adc",C58*config!$B$14,0))</f>
        <v>2</v>
      </c>
      <c r="P58" s="1" t="n">
        <f aca="false">IF(OR(B58="conv",B58="pw",B58="dw",B58="pool"),J58*2+config!$B$11,0)</f>
        <v>100353</v>
      </c>
      <c r="Q58" s="1" t="n">
        <f aca="false">IF(OR(B58="conv",B58="pw",B58="dw",B58="head"),G58*2*config!$B$2+I58*10,0)</f>
        <v>43008</v>
      </c>
    </row>
    <row r="59" customFormat="false" ht="15" hidden="false" customHeight="false" outlineLevel="0" collapsed="false">
      <c r="A59" s="3" t="s">
        <v>172</v>
      </c>
      <c r="B59" s="3" t="s">
        <v>111</v>
      </c>
      <c r="C59" s="3" t="n">
        <v>1024</v>
      </c>
      <c r="E59" s="3" t="n">
        <v>1</v>
      </c>
      <c r="F59" s="3" t="n">
        <v>1</v>
      </c>
      <c r="G59" s="1" t="str">
        <f aca="false">IF(OR(B59="conv",B59="pw",B59="head",B59="mm"),-INT(-C59/config!$B$2)*-INT(-D59/config!$B$2),IF(B59="dw",1,""))</f>
        <v/>
      </c>
      <c r="H59" s="1" t="str">
        <f aca="false">IF(OR(B59="conv",B59="pw",B59="head",B59="mm",B59="dw"),C59*D59,"")</f>
        <v/>
      </c>
      <c r="I59" s="1" t="n">
        <f aca="false">IF(OR(B59="conv",B59="pw",B59="head",B59="mm",B59="dw",B59="pool"),C59,"")</f>
        <v>1024</v>
      </c>
      <c r="J59" s="1" t="n">
        <f aca="false">IF(OR(B59="conv",B59="pw",B59="mm",B59="dw"),I59*E59*F59,0)</f>
        <v>0</v>
      </c>
      <c r="K59" s="1" t="n">
        <f aca="false">IF(OR(B59="conv",B59="pw",B59="dw",B59="head"),C59,0)</f>
        <v>0</v>
      </c>
      <c r="L59" s="1" t="n">
        <f aca="false">IF(B59="dw",I59*config!$B$6+config!$B$16*config!$B$5+K59+config!$B$9,IF(B59="pool",I59*2+config!$B$9,IF(B59="dac",C59*config!$B$12,IF(B59="adc",C59*config!$B$13,IF(OR(B59="conv",B59="pw"),G59*config!$B$7+K59+config!$B$9,IF(B59="head",G59*config!$B$7+K59,""))))))</f>
        <v>2068</v>
      </c>
      <c r="M59" s="1" t="n">
        <v>0</v>
      </c>
      <c r="N59" s="1" t="n">
        <f aca="false">IF(OR(B59="conv",B59="pw",B59="head",B59="mm",B59="dw"),H59*2*mobilenetv1!$B$28*(1+config!$B$4),0)</f>
        <v>0</v>
      </c>
      <c r="O59" s="1" t="n">
        <f aca="false">IF(OR(B59="conv",B59="pw",B59="dw",B59="pool"),config!$B$10,IF(B59="adc",C59*config!$B$14,0))</f>
        <v>2</v>
      </c>
      <c r="P59" s="1" t="n">
        <f aca="false">IF(OR(B59="conv",B59="pw",B59="dw",B59="pool"),J59*2+config!$B$11,0)</f>
        <v>1</v>
      </c>
      <c r="Q59" s="1" t="n">
        <f aca="false">IF(OR(B59="conv",B59="pw",B59="dw",B59="head"),G59*2*config!$B$2+I59*10,0)</f>
        <v>0</v>
      </c>
    </row>
    <row r="60" customFormat="false" ht="15" hidden="false" customHeight="false" outlineLevel="0" collapsed="false">
      <c r="A60" s="3" t="s">
        <v>112</v>
      </c>
      <c r="B60" s="3" t="s">
        <v>113</v>
      </c>
      <c r="C60" s="3" t="n">
        <v>1001</v>
      </c>
      <c r="D60" s="3" t="n">
        <v>1024</v>
      </c>
      <c r="E60" s="3" t="n">
        <v>1</v>
      </c>
      <c r="F60" s="3" t="n">
        <v>1</v>
      </c>
      <c r="G60" s="1" t="n">
        <f aca="false">IF(OR(B60="conv",B60="pw",B60="head",B60="mm"),-INT(-C60/config!$B$2)*-INT(-D60/config!$B$2),IF(B60="dw",1,""))</f>
        <v>256</v>
      </c>
      <c r="H60" s="1" t="n">
        <f aca="false">IF(OR(B60="conv",B60="pw",B60="head",B60="mm",B60="dw"),C60*D60,"")</f>
        <v>1025024</v>
      </c>
      <c r="I60" s="1" t="n">
        <f aca="false">IF(OR(B60="conv",B60="pw",B60="head",B60="mm",B60="dw",B60="pool"),C60,"")</f>
        <v>1001</v>
      </c>
      <c r="J60" s="1" t="n">
        <f aca="false">IF(OR(B60="conv",B60="pw",B60="mm",B60="dw"),I60*E60*F60,0)</f>
        <v>0</v>
      </c>
      <c r="K60" s="1" t="n">
        <f aca="false">IF(OR(B60="conv",B60="pw",B60="dw",B60="head"),C60,0)</f>
        <v>1001</v>
      </c>
      <c r="L60" s="1" t="n">
        <f aca="false">IF(B60="dw",I60*config!$B$6+config!$B$16*config!$B$5+K60+config!$B$9,IF(B60="pool",I60*2+config!$B$9,IF(B60="dac",C60*config!$B$12,IF(B60="adc",C60*config!$B$13,IF(OR(B60="conv",B60="pw"),G60*config!$B$7+K60+config!$B$9,IF(B60="head",G60*config!$B$7+K60,""))))))</f>
        <v>197609</v>
      </c>
      <c r="M60" s="1" t="n">
        <v>0</v>
      </c>
      <c r="N60" s="1" t="n">
        <f aca="false">IF(OR(B60="conv",B60="pw",B60="head",B60="mm",B60="dw"),H60*2*mobilenetv1!$B$28*(1+config!$B$4),0)</f>
        <v>9840230.4</v>
      </c>
      <c r="O60" s="1" t="n">
        <f aca="false">IF(OR(B60="conv",B60="pw",B60="dw",B60="pool"),config!$B$10,IF(B60="adc",C60*config!$B$14,0))</f>
        <v>0</v>
      </c>
      <c r="P60" s="1" t="n">
        <f aca="false">IF(OR(B60="conv",B60="pw",B60="dw",B60="pool"),J60*2+config!$B$11,0)</f>
        <v>0</v>
      </c>
      <c r="Q60" s="1" t="n">
        <f aca="false">IF(OR(B60="conv",B60="pw",B60="dw",B60="head"),G60*2*config!$B$2+I60*10,0)</f>
        <v>42778</v>
      </c>
    </row>
    <row r="61" customFormat="false" ht="15" hidden="false" customHeight="false" outlineLevel="0" collapsed="false">
      <c r="A61" s="3" t="s">
        <v>114</v>
      </c>
      <c r="B61" s="3" t="s">
        <v>115</v>
      </c>
      <c r="C61" s="3" t="n">
        <v>150528</v>
      </c>
      <c r="G61" s="1" t="str">
        <f aca="false">IF(OR(B61="conv",B61="pw",B61="head",B61="mm"),-INT(-C61/config!$B$2)*-INT(-D61/config!$B$2),IF(B61="dw",1,""))</f>
        <v/>
      </c>
      <c r="H61" s="1" t="str">
        <f aca="false">IF(OR(B61="conv",B61="pw",B61="head",B61="mm",B61="dw"),C61*D61,"")</f>
        <v/>
      </c>
      <c r="I61" s="1" t="str">
        <f aca="false">IF(OR(B61="conv",B61="pw",B61="head",B61="mm",B61="dw",B61="pool"),C61,"")</f>
        <v/>
      </c>
      <c r="J61" s="1" t="n">
        <f aca="false">IF(OR(B61="conv",B61="pw",B61="mm",B61="dw"),I61*E61*F61,0)</f>
        <v>0</v>
      </c>
      <c r="K61" s="1" t="n">
        <f aca="false">IF(OR(B61="conv",B61="pw",B61="dw",B61="head"),C61,0)</f>
        <v>0</v>
      </c>
      <c r="L61" s="1" t="n">
        <f aca="false">IF(B61="dw",I61*config!$B$6+config!$B$16*config!$B$5+K61+config!$B$9,IF(B61="pool",I61*2+config!$B$9,IF(B61="dac",C61*config!$B$12,IF(B61="adc",C61*config!$B$13,IF(OR(B61="conv",B61="pw"),G61*config!$B$7+K61+config!$B$9,IF(B61="head",G61*config!$B$7+K61,""))))))</f>
        <v>1204224</v>
      </c>
      <c r="M61" s="1" t="n">
        <v>0</v>
      </c>
      <c r="N61" s="1" t="n">
        <f aca="false">IF(OR(B61="conv",B61="pw",B61="head",B61="mm",B61="dw"),H61*2*mobilenetv1!$B$28*(1+config!$B$4),0)</f>
        <v>0</v>
      </c>
      <c r="O61" s="1" t="n">
        <f aca="false">IF(OR(B61="conv",B61="pw",B61="dw",B61="pool"),config!$B$10,IF(B61="adc",C61*config!$B$14,0))</f>
        <v>0</v>
      </c>
      <c r="P61" s="1" t="n">
        <f aca="false">IF(OR(B61="conv",B61="pw",B61="dw",B61="pool"),J61*2+config!$B$11,0)</f>
        <v>0</v>
      </c>
      <c r="Q61" s="1" t="n">
        <f aca="false">IF(OR(B61="conv",B61="pw",B61="dw",B61="head"),G61*2*config!$B$2+I61*10,0)</f>
        <v>0</v>
      </c>
    </row>
    <row r="62" customFormat="false" ht="15" hidden="false" customHeight="false" outlineLevel="0" collapsed="false">
      <c r="A62" s="3" t="s">
        <v>116</v>
      </c>
      <c r="B62" s="3" t="s">
        <v>117</v>
      </c>
      <c r="C62" s="3" t="n">
        <v>1001</v>
      </c>
      <c r="G62" s="1" t="str">
        <f aca="false">IF(OR(B62="conv",B62="pw",B62="head",B62="mm"),-INT(-C62/config!$B$2)*-INT(-D62/config!$B$2),IF(B62="dw",1,""))</f>
        <v/>
      </c>
      <c r="H62" s="1" t="str">
        <f aca="false">IF(OR(B62="conv",B62="pw",B62="head",B62="mm",B62="dw"),C62*D62,"")</f>
        <v/>
      </c>
      <c r="I62" s="1" t="str">
        <f aca="false">IF(OR(B62="conv",B62="pw",B62="head",B62="mm",B62="dw",B62="pool"),C62,"")</f>
        <v/>
      </c>
      <c r="J62" s="1" t="n">
        <f aca="false">IF(OR(B62="conv",B62="pw",B62="mm",B62="dw"),I62*E62*F62,0)</f>
        <v>0</v>
      </c>
      <c r="K62" s="1" t="n">
        <f aca="false">IF(OR(B62="conv",B62="pw",B62="dw",B62="head"),C62,0)</f>
        <v>0</v>
      </c>
      <c r="L62" s="1" t="n">
        <f aca="false">IF(B62="dw",I62*config!$B$6+config!$B$16*config!$B$5+K62+config!$B$9,IF(B62="pool",I62*2+config!$B$9,IF(B62="dac",C62*config!$B$12,IF(B62="adc",C62*config!$B$13,IF(OR(B62="conv",B62="pw"),G62*config!$B$7+K62+config!$B$9,IF(B62="head",G62*config!$B$7+K62,""))))))</f>
        <v>10010</v>
      </c>
      <c r="M62" s="1" t="n">
        <v>0</v>
      </c>
      <c r="N62" s="1" t="n">
        <f aca="false">IF(OR(B62="conv",B62="pw",B62="head",B62="mm",B62="dw"),H62*2*mobilenetv1!$B$28*(1+config!$B$4),0)</f>
        <v>0</v>
      </c>
      <c r="O62" s="1" t="n">
        <f aca="false">IF(OR(B62="conv",B62="pw",B62="dw",B62="pool"),config!$B$10,IF(B62="adc",C62*config!$B$14,0))</f>
        <v>8008</v>
      </c>
      <c r="P62" s="1" t="n">
        <f aca="false">IF(OR(B62="conv",B62="pw",B62="dw",B62="pool"),J62*2+config!$B$11,0)</f>
        <v>0</v>
      </c>
      <c r="Q62" s="1" t="n">
        <f aca="false">IF(OR(B62="conv",B62="pw",B62="dw",B62="head"),G62*2*config!$B$2+I62*10,0)</f>
        <v>0</v>
      </c>
    </row>
    <row r="63" customFormat="false" ht="15" hidden="false" customHeight="false" outlineLevel="0" collapsed="false">
      <c r="A63" s="1" t="s">
        <v>118</v>
      </c>
      <c r="B63" s="1" t="s">
        <v>119</v>
      </c>
      <c r="Q63" s="1" t="n">
        <f aca="false">SUM(J32:J62)+150528+1024+1001</f>
        <v>4593129</v>
      </c>
    </row>
    <row r="64" customFormat="false" ht="15" hidden="false" customHeight="false" outlineLevel="0" collapsed="false">
      <c r="A64" s="14" t="s">
        <v>77</v>
      </c>
      <c r="B64" s="14"/>
      <c r="C64" s="14"/>
      <c r="D64" s="14"/>
      <c r="E64" s="14"/>
      <c r="F64" s="14"/>
      <c r="G64" s="14" t="n">
        <f aca="false">SUM(G32:G63)</f>
        <v>1037</v>
      </c>
      <c r="H64" s="14" t="n">
        <f aca="false">SUM(H32:H63)</f>
        <v>4210112</v>
      </c>
      <c r="I64" s="14" t="n">
        <f aca="false">SUM(I32:I63)</f>
        <v>12969</v>
      </c>
      <c r="J64" s="14" t="n">
        <f aca="false">SUM(J32:J63)</f>
        <v>4440576</v>
      </c>
      <c r="K64" s="14" t="n">
        <f aca="false">SUM(K32:K63)</f>
        <v>11945</v>
      </c>
      <c r="L64" s="14" t="n">
        <f aca="false">SUM(L32:L63)</f>
        <v>2065053</v>
      </c>
      <c r="M64" s="14" t="n">
        <f aca="false">SUM(M32:M63)</f>
        <v>0</v>
      </c>
      <c r="N64" s="14" t="n">
        <f aca="false">SUM(N32:N63)</f>
        <v>40417075.2</v>
      </c>
      <c r="O64" s="14" t="n">
        <f aca="false">SUM(O32:O63)</f>
        <v>8064</v>
      </c>
      <c r="P64" s="14" t="n">
        <f aca="false">SUM(P32:P63)</f>
        <v>8881180</v>
      </c>
      <c r="Q64" s="14" t="n">
        <f aca="false">SUM(Q32:Q63)</f>
        <v>4845315</v>
      </c>
    </row>
    <row r="66" customFormat="false" ht="1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</row>
    <row r="67" customFormat="false" ht="1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7.24"/>
    <col collapsed="false" customWidth="true" hidden="false" outlineLevel="0" max="6" min="6" style="1" width="11.86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17" min="9" style="1" width="13"/>
    <col collapsed="false" customWidth="true" hidden="false" outlineLevel="0" max="20" min="20" style="1" width="10"/>
    <col collapsed="false" customWidth="true" hidden="false" outlineLevel="0" max="21" min="21" style="1" width="10.01"/>
    <col collapsed="false" customWidth="true" hidden="false" outlineLevel="0" max="16384" min="16384" style="0" width="11.53"/>
  </cols>
  <sheetData>
    <row r="1" customFormat="false" ht="17.35" hidden="false" customHeight="false" outlineLevel="0" collapsed="false">
      <c r="A1" s="4" t="s">
        <v>173</v>
      </c>
    </row>
    <row r="2" customFormat="false" ht="15" hidden="false" customHeight="false" outlineLevel="0" collapsed="false">
      <c r="A2" s="1" t="s">
        <v>174</v>
      </c>
    </row>
    <row r="4" customFormat="false" ht="15" hidden="false" customHeight="fals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0"/>
    </row>
    <row r="5" customFormat="false" ht="15" hidden="false" customHeight="false" outlineLevel="0" collapsed="false">
      <c r="A5" s="6" t="s">
        <v>175</v>
      </c>
      <c r="B5" s="6" t="n">
        <v>1</v>
      </c>
      <c r="C5" s="6" t="n">
        <v>248320</v>
      </c>
      <c r="D5" s="6" t="n">
        <v>5120</v>
      </c>
      <c r="E5" s="6" t="n">
        <f aca="false">B5*C5*D5</f>
        <v>1271398400</v>
      </c>
      <c r="F5" s="0"/>
    </row>
    <row r="6" customFormat="false" ht="15" hidden="false" customHeight="false" outlineLevel="0" collapsed="false">
      <c r="A6" s="6" t="s">
        <v>176</v>
      </c>
      <c r="B6" s="6" t="n">
        <v>1</v>
      </c>
      <c r="C6" s="6" t="n">
        <v>248320</v>
      </c>
      <c r="D6" s="6" t="n">
        <v>5120</v>
      </c>
      <c r="E6" s="6" t="n">
        <f aca="false">B6*C6*D6</f>
        <v>1271398400</v>
      </c>
      <c r="F6" s="0"/>
      <c r="I6" s="7" t="s">
        <v>64</v>
      </c>
      <c r="J6" s="8" t="s">
        <v>65</v>
      </c>
      <c r="K6" s="8" t="s">
        <v>177</v>
      </c>
    </row>
    <row r="7" customFormat="false" ht="15" hidden="false" customHeight="false" outlineLevel="0" collapsed="false">
      <c r="A7" s="6" t="s">
        <v>178</v>
      </c>
      <c r="B7" s="6" t="n">
        <v>48</v>
      </c>
      <c r="C7" s="6" t="n">
        <v>10240</v>
      </c>
      <c r="D7" s="6" t="n">
        <v>5120</v>
      </c>
      <c r="E7" s="6" t="n">
        <f aca="false">B7*C7*D7</f>
        <v>2516582400</v>
      </c>
      <c r="F7" s="0"/>
      <c r="I7" s="9" t="s">
        <v>179</v>
      </c>
      <c r="J7" s="10" t="n">
        <v>0.0005</v>
      </c>
      <c r="K7" s="10" t="n">
        <v>1</v>
      </c>
    </row>
    <row r="8" customFormat="false" ht="15" hidden="false" customHeight="false" outlineLevel="0" collapsed="false">
      <c r="A8" s="6" t="s">
        <v>180</v>
      </c>
      <c r="B8" s="6" t="n">
        <v>48</v>
      </c>
      <c r="C8" s="6" t="n">
        <v>6144</v>
      </c>
      <c r="D8" s="6" t="n">
        <v>5120</v>
      </c>
      <c r="E8" s="6" t="n">
        <f aca="false">B8*C8*D8</f>
        <v>1509949440</v>
      </c>
      <c r="F8" s="0"/>
      <c r="I8" s="9" t="s">
        <v>181</v>
      </c>
      <c r="J8" s="10" t="n">
        <v>0.0355</v>
      </c>
      <c r="K8" s="10" t="n">
        <v>0.9994</v>
      </c>
    </row>
    <row r="9" customFormat="false" ht="15" hidden="false" customHeight="false" outlineLevel="0" collapsed="false">
      <c r="A9" s="6" t="s">
        <v>182</v>
      </c>
      <c r="B9" s="6" t="n">
        <v>48</v>
      </c>
      <c r="C9" s="6" t="n">
        <v>48</v>
      </c>
      <c r="D9" s="6" t="n">
        <v>5120</v>
      </c>
      <c r="E9" s="6" t="n">
        <f aca="false">B9*C9*D9</f>
        <v>11796480</v>
      </c>
      <c r="F9" s="0"/>
      <c r="I9" s="9" t="s">
        <v>183</v>
      </c>
      <c r="J9" s="10" t="s">
        <v>184</v>
      </c>
      <c r="K9" s="10" t="s">
        <v>185</v>
      </c>
    </row>
    <row r="10" customFormat="false" ht="15" hidden="false" customHeight="false" outlineLevel="0" collapsed="false">
      <c r="A10" s="6" t="s">
        <v>186</v>
      </c>
      <c r="B10" s="6" t="n">
        <v>48</v>
      </c>
      <c r="C10" s="6" t="n">
        <v>48</v>
      </c>
      <c r="D10" s="6" t="n">
        <v>5120</v>
      </c>
      <c r="E10" s="6" t="n">
        <f aca="false">B10*C10*D10</f>
        <v>11796480</v>
      </c>
      <c r="F10" s="0"/>
      <c r="I10" s="9" t="s">
        <v>187</v>
      </c>
      <c r="J10" s="10" t="n">
        <v>0.2952</v>
      </c>
      <c r="K10" s="10" t="n">
        <v>0.9641</v>
      </c>
    </row>
    <row r="11" customFormat="false" ht="15" hidden="false" customHeight="false" outlineLevel="0" collapsed="false">
      <c r="A11" s="6" t="s">
        <v>188</v>
      </c>
      <c r="B11" s="6" t="n">
        <v>48</v>
      </c>
      <c r="C11" s="6" t="n">
        <v>5120</v>
      </c>
      <c r="D11" s="6" t="n">
        <v>6144</v>
      </c>
      <c r="E11" s="6" t="n">
        <f aca="false">B11*C11*D11</f>
        <v>1509949440</v>
      </c>
      <c r="F11" s="0"/>
      <c r="I11" s="9" t="s">
        <v>189</v>
      </c>
      <c r="J11" s="10" t="n">
        <v>0.2981</v>
      </c>
      <c r="K11" s="10" t="n">
        <v>0.9623</v>
      </c>
    </row>
    <row r="12" customFormat="false" ht="15" hidden="false" customHeight="false" outlineLevel="0" collapsed="false">
      <c r="A12" s="6" t="s">
        <v>190</v>
      </c>
      <c r="B12" s="6" t="n">
        <v>17</v>
      </c>
      <c r="C12" s="6" t="n">
        <v>12288</v>
      </c>
      <c r="D12" s="6" t="n">
        <v>5120</v>
      </c>
      <c r="E12" s="6" t="n">
        <f aca="false">B12*C12*D12</f>
        <v>1069547520</v>
      </c>
      <c r="F12" s="0"/>
      <c r="I12" s="9" t="s">
        <v>191</v>
      </c>
      <c r="J12" s="10" t="s">
        <v>192</v>
      </c>
      <c r="K12" s="10" t="s">
        <v>193</v>
      </c>
    </row>
    <row r="13" customFormat="false" ht="15" hidden="false" customHeight="false" outlineLevel="0" collapsed="false">
      <c r="A13" s="6" t="s">
        <v>194</v>
      </c>
      <c r="B13" s="6" t="n">
        <v>17</v>
      </c>
      <c r="C13" s="6" t="n">
        <v>1024</v>
      </c>
      <c r="D13" s="6" t="n">
        <v>5120</v>
      </c>
      <c r="E13" s="6" t="n">
        <f aca="false">B13*C13*D13</f>
        <v>89128960</v>
      </c>
      <c r="F13" s="0"/>
    </row>
    <row r="14" customFormat="false" ht="15" hidden="false" customHeight="false" outlineLevel="0" collapsed="false">
      <c r="A14" s="6" t="s">
        <v>195</v>
      </c>
      <c r="B14" s="6" t="n">
        <v>17</v>
      </c>
      <c r="C14" s="6" t="n">
        <v>1024</v>
      </c>
      <c r="D14" s="6" t="n">
        <v>5120</v>
      </c>
      <c r="E14" s="6" t="n">
        <f aca="false">B14*C14*D14</f>
        <v>89128960</v>
      </c>
      <c r="F14" s="0"/>
    </row>
    <row r="15" customFormat="false" ht="15" hidden="false" customHeight="false" outlineLevel="0" collapsed="false">
      <c r="A15" s="6" t="s">
        <v>196</v>
      </c>
      <c r="B15" s="6" t="n">
        <v>17</v>
      </c>
      <c r="C15" s="6" t="n">
        <v>5120</v>
      </c>
      <c r="D15" s="6" t="n">
        <v>6144</v>
      </c>
      <c r="E15" s="6" t="n">
        <f aca="false">B15*C15*D15</f>
        <v>534773760</v>
      </c>
      <c r="F15" s="0"/>
    </row>
    <row r="16" customFormat="false" ht="15" hidden="false" customHeight="false" outlineLevel="0" collapsed="false">
      <c r="A16" s="6" t="s">
        <v>197</v>
      </c>
      <c r="B16" s="6" t="n">
        <v>65</v>
      </c>
      <c r="C16" s="6" t="n">
        <v>17408</v>
      </c>
      <c r="D16" s="6" t="n">
        <v>5120</v>
      </c>
      <c r="E16" s="6" t="n">
        <f aca="false">B16*C16*D16</f>
        <v>5793382400</v>
      </c>
      <c r="F16" s="0"/>
    </row>
    <row r="17" customFormat="false" ht="15" hidden="false" customHeight="false" outlineLevel="0" collapsed="false">
      <c r="A17" s="6" t="s">
        <v>198</v>
      </c>
      <c r="B17" s="6" t="n">
        <v>65</v>
      </c>
      <c r="C17" s="6" t="n">
        <v>17408</v>
      </c>
      <c r="D17" s="6" t="n">
        <v>5120</v>
      </c>
      <c r="E17" s="6" t="n">
        <f aca="false">B17*C17*D17</f>
        <v>5793382400</v>
      </c>
      <c r="F17" s="0"/>
    </row>
    <row r="18" customFormat="false" ht="15" hidden="false" customHeight="false" outlineLevel="0" collapsed="false">
      <c r="A18" s="6" t="s">
        <v>199</v>
      </c>
      <c r="B18" s="6" t="n">
        <v>65</v>
      </c>
      <c r="C18" s="6" t="n">
        <v>5120</v>
      </c>
      <c r="D18" s="6" t="n">
        <v>17408</v>
      </c>
      <c r="E18" s="6" t="n">
        <f aca="false">B18*C18*D18</f>
        <v>5793382400</v>
      </c>
      <c r="F18" s="0"/>
    </row>
    <row r="19" customFormat="false" ht="15" hidden="false" customHeight="false" outlineLevel="0" collapsed="false">
      <c r="A19" s="6" t="s">
        <v>200</v>
      </c>
      <c r="B19" s="6" t="n">
        <v>1</v>
      </c>
      <c r="C19" s="6" t="n">
        <v>5120</v>
      </c>
      <c r="D19" s="6" t="n">
        <v>10240</v>
      </c>
      <c r="E19" s="6" t="n">
        <f aca="false">B19*C19*D19</f>
        <v>52428800</v>
      </c>
      <c r="F19" s="0"/>
    </row>
    <row r="20" customFormat="false" ht="15" hidden="false" customHeight="false" outlineLevel="0" collapsed="false">
      <c r="A20" s="11" t="s">
        <v>77</v>
      </c>
      <c r="B20" s="12"/>
      <c r="C20" s="12"/>
      <c r="D20" s="12"/>
      <c r="E20" s="11" t="n">
        <f aca="false">SUM(E5:E19)</f>
        <v>27318026240</v>
      </c>
      <c r="F20" s="0"/>
    </row>
    <row r="22" customFormat="false" ht="15" hidden="false" customHeight="false" outlineLevel="0" collapsed="false">
      <c r="A22" s="1" t="s">
        <v>201</v>
      </c>
      <c r="B22" s="3" t="n">
        <v>16</v>
      </c>
    </row>
    <row r="23" customFormat="false" ht="15" hidden="false" customHeight="false" outlineLevel="0" collapsed="false">
      <c r="A23" s="1" t="s">
        <v>202</v>
      </c>
      <c r="B23" s="3" t="n">
        <v>6</v>
      </c>
    </row>
    <row r="24" customFormat="false" ht="15" hidden="false" customHeight="false" outlineLevel="0" collapsed="false">
      <c r="A24" s="1" t="s">
        <v>203</v>
      </c>
      <c r="B24" s="3" t="n">
        <v>48</v>
      </c>
    </row>
    <row r="25" customFormat="false" ht="15" hidden="false" customHeight="false" outlineLevel="0" collapsed="false">
      <c r="A25" s="1" t="s">
        <v>204</v>
      </c>
      <c r="B25" s="3" t="n">
        <v>128</v>
      </c>
    </row>
    <row r="26" customFormat="false" ht="15" hidden="false" customHeight="false" outlineLevel="0" collapsed="false">
      <c r="A26" s="1" t="s">
        <v>205</v>
      </c>
      <c r="B26" s="3" t="n">
        <v>5120</v>
      </c>
    </row>
    <row r="27" customFormat="false" ht="15" hidden="false" customHeight="false" outlineLevel="0" collapsed="false">
      <c r="A27" s="1" t="s">
        <v>144</v>
      </c>
      <c r="B27" s="3" t="n">
        <v>16</v>
      </c>
    </row>
    <row r="28" customFormat="false" ht="15" hidden="false" customHeight="false" outlineLevel="0" collapsed="false">
      <c r="A28" s="1" t="s">
        <v>79</v>
      </c>
      <c r="B28" s="1" t="n">
        <f aca="false">B27/config!$B$3</f>
        <v>8</v>
      </c>
    </row>
    <row r="30" customFormat="false" ht="15" hidden="false" customHeight="false" outlineLevel="0" collapsed="false">
      <c r="A30" s="15" t="s">
        <v>206</v>
      </c>
    </row>
    <row r="31" customFormat="false" ht="15" hidden="false" customHeight="false" outlineLevel="0" collapsed="false">
      <c r="A31" s="2" t="s">
        <v>80</v>
      </c>
      <c r="B31" s="2" t="s">
        <v>81</v>
      </c>
      <c r="C31" s="2" t="s">
        <v>82</v>
      </c>
      <c r="D31" s="2" t="s">
        <v>83</v>
      </c>
      <c r="E31" s="2" t="s">
        <v>84</v>
      </c>
      <c r="F31" s="2" t="s">
        <v>85</v>
      </c>
      <c r="G31" s="2" t="s">
        <v>86</v>
      </c>
      <c r="H31" s="2" t="s">
        <v>61</v>
      </c>
      <c r="I31" s="2" t="s">
        <v>87</v>
      </c>
      <c r="J31" s="2" t="s">
        <v>88</v>
      </c>
      <c r="K31" s="2" t="s">
        <v>89</v>
      </c>
      <c r="L31" s="2" t="s">
        <v>90</v>
      </c>
      <c r="M31" s="2" t="s">
        <v>91</v>
      </c>
      <c r="N31" s="2" t="s">
        <v>92</v>
      </c>
      <c r="O31" s="2" t="s">
        <v>93</v>
      </c>
      <c r="P31" s="2" t="s">
        <v>94</v>
      </c>
      <c r="Q31" s="2" t="s">
        <v>95</v>
      </c>
    </row>
    <row r="32" customFormat="false" ht="15" hidden="false" customHeight="false" outlineLevel="0" collapsed="false">
      <c r="A32" s="3" t="s">
        <v>207</v>
      </c>
      <c r="B32" s="3" t="s">
        <v>208</v>
      </c>
      <c r="C32" s="3" t="n">
        <f aca="false">2*qwen_block!$B$26</f>
        <v>10240</v>
      </c>
      <c r="D32" s="3" t="n">
        <f aca="false">qwen_block!$B$26</f>
        <v>5120</v>
      </c>
      <c r="G32" s="1" t="n">
        <f aca="false">IF(OR(B32="conv",B32="pw",B32="head",B32="mm"),-INT(-C32/config!$B$2)*-INT(-D32/config!$B$2),IF(B32="dw",1,""))</f>
        <v>12800</v>
      </c>
      <c r="H32" s="1" t="n">
        <f aca="false">IF(OR(B32="conv",B32="pw",B32="head",B32="mm",B32="dw"),C32*D32,"")</f>
        <v>52428800</v>
      </c>
      <c r="I32" s="1" t="n">
        <f aca="false">IF(OR(B32="conv",B32="pw",B32="head",B32="mm",B32="dw"),C32,"")</f>
        <v>10240</v>
      </c>
      <c r="J32" s="1" t="n">
        <v>0</v>
      </c>
      <c r="K32" s="1" t="n">
        <v>0</v>
      </c>
      <c r="L32" s="1" t="n">
        <f aca="false">IF(B32="mm",G32*config!$B$7,IF(B32="dac",C32*config!$B$12,IF(B32="adc",C32*config!$B$13,"")))</f>
        <v>9830400</v>
      </c>
      <c r="M32" s="1" t="n">
        <v>0</v>
      </c>
      <c r="N32" s="1" t="n">
        <f aca="false">IF(OR(B32="conv",B32="pw",B32="head",B32="mm",B32="dw"),H32*2*qwen_block!$B$28*(1+config!$B$4),0)</f>
        <v>1006632960</v>
      </c>
      <c r="O32" s="1" t="n">
        <f aca="false">IF(B32="adc",C32*config!$B$14,0)</f>
        <v>0</v>
      </c>
      <c r="P32" s="1" t="n">
        <v>0</v>
      </c>
      <c r="Q32" s="1" t="n">
        <f aca="false">IF(OR(B32="mm",B32="head",B32="conv",B32="pw",B32="dw",B32="dwca"),G32*2*config!$B$2+C32*config!$B$24,0)</f>
        <v>1740800</v>
      </c>
    </row>
    <row r="33" customFormat="false" ht="15" hidden="false" customHeight="false" outlineLevel="0" collapsed="false">
      <c r="A33" s="3" t="s">
        <v>209</v>
      </c>
      <c r="B33" s="3" t="s">
        <v>208</v>
      </c>
      <c r="C33" s="3" t="n">
        <f aca="false">qwen_block!$B$24*qwen_block!$B$25</f>
        <v>6144</v>
      </c>
      <c r="D33" s="3" t="n">
        <f aca="false">qwen_block!$B$26</f>
        <v>5120</v>
      </c>
      <c r="G33" s="1" t="n">
        <f aca="false">IF(OR(B33="conv",B33="pw",B33="head",B33="mm"),-INT(-C33/config!$B$2)*-INT(-D33/config!$B$2),IF(B33="dw",1,""))</f>
        <v>7680</v>
      </c>
      <c r="H33" s="1" t="n">
        <f aca="false">IF(OR(B33="conv",B33="pw",B33="head",B33="mm",B33="dw"),C33*D33,"")</f>
        <v>31457280</v>
      </c>
      <c r="I33" s="1" t="n">
        <f aca="false">IF(OR(B33="conv",B33="pw",B33="head",B33="mm",B33="dw"),C33,"")</f>
        <v>6144</v>
      </c>
      <c r="J33" s="1" t="n">
        <v>0</v>
      </c>
      <c r="K33" s="1" t="n">
        <v>0</v>
      </c>
      <c r="L33" s="1" t="n">
        <f aca="false">IF(B33="mm",G33*config!$B$7,IF(B33="dac",C33*config!$B$12,IF(B33="adc",C33*config!$B$13,"")))</f>
        <v>5898240</v>
      </c>
      <c r="M33" s="1" t="n">
        <v>0</v>
      </c>
      <c r="N33" s="1" t="n">
        <f aca="false">IF(OR(B33="conv",B33="pw",B33="head",B33="mm",B33="dw"),H33*2*qwen_block!$B$28*(1+config!$B$4),0)</f>
        <v>603979776</v>
      </c>
      <c r="O33" s="1" t="n">
        <f aca="false">IF(B33="adc",C33*config!$B$14,0)</f>
        <v>0</v>
      </c>
      <c r="P33" s="1" t="n">
        <v>0</v>
      </c>
      <c r="Q33" s="1" t="n">
        <f aca="false">IF(OR(B33="mm",B33="head",B33="conv",B33="pw",B33="dw",B33="dwca"),G33*2*config!$B$2+C33*config!$B$24,0)</f>
        <v>1044480</v>
      </c>
    </row>
    <row r="34" customFormat="false" ht="15" hidden="false" customHeight="false" outlineLevel="0" collapsed="false">
      <c r="A34" s="3" t="s">
        <v>210</v>
      </c>
      <c r="B34" s="3" t="s">
        <v>208</v>
      </c>
      <c r="C34" s="3" t="n">
        <f aca="false">qwen_block!$B$24</f>
        <v>48</v>
      </c>
      <c r="D34" s="3" t="n">
        <f aca="false">qwen_block!$B$26</f>
        <v>5120</v>
      </c>
      <c r="G34" s="1" t="n">
        <f aca="false">IF(OR(B34="conv",B34="pw",B34="head",B34="mm"),-INT(-C34/config!$B$2)*-INT(-D34/config!$B$2),IF(B34="dw",1,""))</f>
        <v>80</v>
      </c>
      <c r="H34" s="1" t="n">
        <f aca="false">IF(OR(B34="conv",B34="pw",B34="head",B34="mm",B34="dw"),C34*D34,"")</f>
        <v>245760</v>
      </c>
      <c r="I34" s="1" t="n">
        <f aca="false">IF(OR(B34="conv",B34="pw",B34="head",B34="mm",B34="dw"),C34,"")</f>
        <v>48</v>
      </c>
      <c r="J34" s="1" t="n">
        <v>0</v>
      </c>
      <c r="K34" s="1" t="n">
        <v>0</v>
      </c>
      <c r="L34" s="1" t="n">
        <f aca="false">IF(B34="mm",G34*config!$B$7,IF(B34="dac",C34*config!$B$12,IF(B34="adc",C34*config!$B$13,"")))</f>
        <v>61440</v>
      </c>
      <c r="M34" s="1" t="n">
        <v>0</v>
      </c>
      <c r="N34" s="1" t="n">
        <f aca="false">IF(OR(B34="conv",B34="pw",B34="head",B34="mm",B34="dw"),H34*2*qwen_block!$B$28*(1+config!$B$4),0)</f>
        <v>4718592</v>
      </c>
      <c r="O34" s="1" t="n">
        <f aca="false">IF(B34="adc",C34*config!$B$14,0)</f>
        <v>0</v>
      </c>
      <c r="P34" s="1" t="n">
        <v>0</v>
      </c>
      <c r="Q34" s="1" t="n">
        <f aca="false">IF(OR(B34="mm",B34="head",B34="conv",B34="pw",B34="dw",B34="dwca"),G34*2*config!$B$2+C34*config!$B$24,0)</f>
        <v>10720</v>
      </c>
    </row>
    <row r="35" customFormat="false" ht="15" hidden="false" customHeight="false" outlineLevel="0" collapsed="false">
      <c r="A35" s="3" t="s">
        <v>211</v>
      </c>
      <c r="B35" s="3" t="s">
        <v>208</v>
      </c>
      <c r="C35" s="3" t="n">
        <f aca="false">qwen_block!$B$24</f>
        <v>48</v>
      </c>
      <c r="D35" s="3" t="n">
        <f aca="false">qwen_block!$B$26</f>
        <v>5120</v>
      </c>
      <c r="G35" s="1" t="n">
        <f aca="false">IF(OR(B35="conv",B35="pw",B35="head",B35="mm"),-INT(-C35/config!$B$2)*-INT(-D35/config!$B$2),IF(B35="dw",1,""))</f>
        <v>80</v>
      </c>
      <c r="H35" s="1" t="n">
        <f aca="false">IF(OR(B35="conv",B35="pw",B35="head",B35="mm",B35="dw"),C35*D35,"")</f>
        <v>245760</v>
      </c>
      <c r="I35" s="1" t="n">
        <f aca="false">IF(OR(B35="conv",B35="pw",B35="head",B35="mm",B35="dw"),C35,"")</f>
        <v>48</v>
      </c>
      <c r="J35" s="1" t="n">
        <v>0</v>
      </c>
      <c r="K35" s="1" t="n">
        <v>0</v>
      </c>
      <c r="L35" s="1" t="n">
        <f aca="false">IF(B35="mm",G35*config!$B$7,IF(B35="dac",C35*config!$B$12,IF(B35="adc",C35*config!$B$13,"")))</f>
        <v>61440</v>
      </c>
      <c r="M35" s="1" t="n">
        <v>0</v>
      </c>
      <c r="N35" s="1" t="n">
        <f aca="false">IF(OR(B35="conv",B35="pw",B35="head",B35="mm",B35="dw"),H35*2*qwen_block!$B$28*(1+config!$B$4),0)</f>
        <v>4718592</v>
      </c>
      <c r="O35" s="1" t="n">
        <f aca="false">IF(B35="adc",C35*config!$B$14,0)</f>
        <v>0</v>
      </c>
      <c r="P35" s="1" t="n">
        <v>0</v>
      </c>
      <c r="Q35" s="1" t="n">
        <f aca="false">IF(OR(B35="mm",B35="head",B35="conv",B35="pw",B35="dw",B35="dwca"),G35*2*config!$B$2+C35*config!$B$24,0)</f>
        <v>10720</v>
      </c>
    </row>
    <row r="36" customFormat="false" ht="15" hidden="false" customHeight="false" outlineLevel="0" collapsed="false">
      <c r="A36" s="3" t="s">
        <v>212</v>
      </c>
      <c r="B36" s="3" t="s">
        <v>208</v>
      </c>
      <c r="C36" s="3" t="n">
        <f aca="false">qwen_block!$B$26</f>
        <v>5120</v>
      </c>
      <c r="D36" s="3" t="n">
        <f aca="false">qwen_block!$B$24*qwen_block!$B$25</f>
        <v>6144</v>
      </c>
      <c r="G36" s="1" t="n">
        <f aca="false">IF(OR(B36="conv",B36="pw",B36="head",B36="mm"),-INT(-C36/config!$B$2)*-INT(-D36/config!$B$2),IF(B36="dw",1,""))</f>
        <v>7680</v>
      </c>
      <c r="H36" s="1" t="n">
        <f aca="false">IF(OR(B36="conv",B36="pw",B36="head",B36="mm",B36="dw"),C36*D36,"")</f>
        <v>31457280</v>
      </c>
      <c r="I36" s="1" t="n">
        <f aca="false">IF(OR(B36="conv",B36="pw",B36="head",B36="mm",B36="dw"),C36,"")</f>
        <v>5120</v>
      </c>
      <c r="J36" s="1" t="n">
        <v>0</v>
      </c>
      <c r="K36" s="1" t="n">
        <v>0</v>
      </c>
      <c r="L36" s="1" t="n">
        <f aca="false">IF(B36="mm",G36*config!$B$7,IF(B36="dac",C36*config!$B$12,IF(B36="adc",C36*config!$B$13,"")))</f>
        <v>5898240</v>
      </c>
      <c r="M36" s="1" t="n">
        <v>0</v>
      </c>
      <c r="N36" s="1" t="n">
        <f aca="false">IF(OR(B36="conv",B36="pw",B36="head",B36="mm",B36="dw"),H36*2*qwen_block!$B$28*(1+config!$B$4),0)</f>
        <v>603979776</v>
      </c>
      <c r="O36" s="1" t="n">
        <f aca="false">IF(B36="adc",C36*config!$B$14,0)</f>
        <v>0</v>
      </c>
      <c r="P36" s="1" t="n">
        <v>0</v>
      </c>
      <c r="Q36" s="1" t="n">
        <f aca="false">IF(OR(B36="mm",B36="head",B36="conv",B36="pw",B36="dw",B36="dwca"),G36*2*config!$B$2+C36*config!$B$24,0)</f>
        <v>1034240</v>
      </c>
    </row>
    <row r="37" customFormat="false" ht="15" hidden="false" customHeight="false" outlineLevel="0" collapsed="false">
      <c r="A37" s="3" t="s">
        <v>213</v>
      </c>
      <c r="B37" s="1" t="s">
        <v>214</v>
      </c>
      <c r="C37" s="3" t="n">
        <v>10240</v>
      </c>
      <c r="G37" s="1" t="n">
        <v>160</v>
      </c>
      <c r="H37" s="1" t="n">
        <f aca="false">2*qwen_block!$B$26*4</f>
        <v>40960</v>
      </c>
      <c r="L37" s="0" t="n">
        <f aca="false">C37*config!$B$25+config!$B$26</f>
        <v>112678</v>
      </c>
      <c r="N37" s="1" t="n">
        <f aca="false">H37*2*qwen_block!$B$28*(1+config!$B$4)</f>
        <v>786432</v>
      </c>
      <c r="Q37" s="1" t="n">
        <f aca="false">IF(OR(B37="mm",B37="head",B37="conv",B37="pw",B37="dw",B37="dwca"),G37*2*config!$B$2+C37*config!$B$24,0)</f>
        <v>122880</v>
      </c>
    </row>
    <row r="38" customFormat="false" ht="15" hidden="false" customHeight="false" outlineLevel="0" collapsed="false">
      <c r="A38" s="3" t="s">
        <v>215</v>
      </c>
      <c r="B38" s="3" t="s">
        <v>216</v>
      </c>
      <c r="C38" s="3" t="n">
        <f aca="false">qwen_block!$B$22*2*qwen_block!$B$26</f>
        <v>163840</v>
      </c>
      <c r="D38" s="3" t="n">
        <v>1</v>
      </c>
      <c r="G38" s="1" t="str">
        <f aca="false">IF(OR(B38="conv",B38="pw",B38="head",B38="mm"),-INT(-C38/config!$B$2)*-INT(-D38/config!$B$2),IF(B38="dw",1,""))</f>
        <v/>
      </c>
      <c r="H38" s="1" t="str">
        <f aca="false">IF(OR(B38="conv",B38="pw",B38="head",B38="mm",B38="dw"),C38*D38,"")</f>
        <v/>
      </c>
      <c r="I38" s="1" t="str">
        <f aca="false">IF(OR(B38="conv",B38="pw",B38="head",B38="mm",B38="dw"),C38,"")</f>
        <v/>
      </c>
      <c r="J38" s="1" t="n">
        <v>0</v>
      </c>
      <c r="K38" s="1" t="n">
        <v>0</v>
      </c>
      <c r="L38" s="1" t="str">
        <f aca="false">IF(B38="mm",G38*config!$B$7,IF(B38="dac",C38*config!$B$12,IF(B38="adc",C38*config!$B$13,"")))</f>
        <v/>
      </c>
      <c r="M38" s="1" t="n">
        <f aca="false">C38*config!$B$22</f>
        <v>2457600</v>
      </c>
      <c r="N38" s="1" t="n">
        <f aca="false">IF(OR(B38="conv",B38="pw",B38="head",B38="mm",B38="dw"),H38*2*qwen_block!$B$28*(1+config!$B$4),0)</f>
        <v>0</v>
      </c>
      <c r="O38" s="1" t="n">
        <f aca="false">IF(B38="adc",C38*config!$B$14,0)</f>
        <v>0</v>
      </c>
      <c r="P38" s="1" t="n">
        <v>0</v>
      </c>
      <c r="Q38" s="1" t="n">
        <f aca="false">IF(OR(B38="mm",B38="head",B38="conv",B38="pw",B38="dw",B38="dwca"),G38*2*config!$B$2+C38*config!$B$24,0)</f>
        <v>0</v>
      </c>
    </row>
    <row r="39" customFormat="false" ht="15" hidden="false" customHeight="false" outlineLevel="0" collapsed="false">
      <c r="A39" s="3" t="s">
        <v>217</v>
      </c>
      <c r="B39" s="3" t="s">
        <v>216</v>
      </c>
      <c r="C39" s="3" t="n">
        <f aca="false">qwen_block!$B$22*qwen_block!$B$24</f>
        <v>768</v>
      </c>
      <c r="D39" s="3" t="n">
        <v>1</v>
      </c>
      <c r="G39" s="1" t="str">
        <f aca="false">IF(OR(B39="conv",B39="pw",B39="head",B39="mm"),-INT(-C39/config!$B$2)*-INT(-D39/config!$B$2),IF(B39="dw",1,""))</f>
        <v/>
      </c>
      <c r="H39" s="1" t="str">
        <f aca="false">IF(OR(B39="conv",B39="pw",B39="head",B39="mm",B39="dw"),C39*D39,"")</f>
        <v/>
      </c>
      <c r="I39" s="1" t="str">
        <f aca="false">IF(OR(B39="conv",B39="pw",B39="head",B39="mm",B39="dw"),C39,"")</f>
        <v/>
      </c>
      <c r="J39" s="1" t="n">
        <v>0</v>
      </c>
      <c r="K39" s="1" t="n">
        <v>0</v>
      </c>
      <c r="L39" s="1" t="str">
        <f aca="false">IF(B39="mm",G39*config!$B$7,IF(B39="dac",C39*config!$B$12,IF(B39="adc",C39*config!$B$13,"")))</f>
        <v/>
      </c>
      <c r="M39" s="1" t="n">
        <f aca="false">C39*config!$B$21</f>
        <v>22272</v>
      </c>
      <c r="N39" s="1" t="n">
        <f aca="false">IF(OR(B39="conv",B39="pw",B39="head",B39="mm",B39="dw"),H39*2*qwen_block!$B$28*(1+config!$B$4),0)</f>
        <v>0</v>
      </c>
      <c r="O39" s="1" t="n">
        <f aca="false">IF(B39="adc",C39*config!$B$14,0)</f>
        <v>0</v>
      </c>
      <c r="P39" s="1" t="n">
        <v>0</v>
      </c>
      <c r="Q39" s="1" t="n">
        <f aca="false">IF(OR(B39="mm",B39="head",B39="conv",B39="pw",B39="dw",B39="dwca"),G39*2*config!$B$2+C39*config!$B$24,0)</f>
        <v>0</v>
      </c>
    </row>
    <row r="40" customFormat="false" ht="15" hidden="false" customHeight="false" outlineLevel="0" collapsed="false">
      <c r="A40" s="3" t="s">
        <v>218</v>
      </c>
      <c r="B40" s="3" t="s">
        <v>216</v>
      </c>
      <c r="C40" s="3" t="n">
        <f aca="false">qwen_block!$B$22*qwen_block!$B$24*2</f>
        <v>1536</v>
      </c>
      <c r="D40" s="3" t="n">
        <v>1</v>
      </c>
      <c r="G40" s="1" t="str">
        <f aca="false">IF(OR(B40="conv",B40="pw",B40="head",B40="mm"),-INT(-C40/config!$B$2)*-INT(-D40/config!$B$2),IF(B40="dw",1,""))</f>
        <v/>
      </c>
      <c r="H40" s="1" t="str">
        <f aca="false">IF(OR(B40="conv",B40="pw",B40="head",B40="mm",B40="dw"),C40*D40,"")</f>
        <v/>
      </c>
      <c r="I40" s="1" t="str">
        <f aca="false">IF(OR(B40="conv",B40="pw",B40="head",B40="mm",B40="dw"),C40,"")</f>
        <v/>
      </c>
      <c r="J40" s="1" t="n">
        <v>0</v>
      </c>
      <c r="K40" s="1" t="n">
        <v>0</v>
      </c>
      <c r="L40" s="1" t="n">
        <f aca="false">C40*config!$B$20</f>
        <v>15360</v>
      </c>
      <c r="M40" s="1" t="n">
        <f aca="false">C40*(qwen_block!$B$25*config!$B$17+config!$B$18+config!$B$19)</f>
        <v>814080</v>
      </c>
      <c r="N40" s="1" t="n">
        <f aca="false">IF(OR(B40="conv",B40="pw",B40="head",B40="mm",B40="dw"),H40*2*qwen_block!$B$28*(1+config!$B$4),0)</f>
        <v>0</v>
      </c>
      <c r="O40" s="1" t="n">
        <f aca="false">IF(B40="adc",C40*config!$B$14,0)</f>
        <v>0</v>
      </c>
      <c r="P40" s="1" t="n">
        <v>0</v>
      </c>
      <c r="Q40" s="1" t="n">
        <f aca="false">IF(OR(B40="mm",B40="head",B40="conv",B40="pw",B40="dw",B40="dwca"),G40*2*config!$B$2+C40*config!$B$24,0)</f>
        <v>0</v>
      </c>
    </row>
    <row r="41" customFormat="false" ht="15" hidden="false" customHeight="false" outlineLevel="0" collapsed="false">
      <c r="A41" s="3" t="s">
        <v>219</v>
      </c>
      <c r="B41" s="3" t="s">
        <v>216</v>
      </c>
      <c r="C41" s="3" t="n">
        <f aca="false">qwen_block!$B$24*qwen_block!$B$25*qwen_block!$B$25</f>
        <v>786432</v>
      </c>
      <c r="D41" s="3" t="n">
        <v>1</v>
      </c>
      <c r="G41" s="1" t="str">
        <f aca="false">IF(OR(B41="conv",B41="pw",B41="head",B41="mm"),-INT(-C41/config!$B$2)*-INT(-D41/config!$B$2),IF(B41="dw",1,""))</f>
        <v/>
      </c>
      <c r="H41" s="1" t="str">
        <f aca="false">IF(OR(B41="conv",B41="pw",B41="head",B41="mm",B41="dw"),C41*D41,"")</f>
        <v/>
      </c>
      <c r="I41" s="1" t="str">
        <f aca="false">IF(OR(B41="conv",B41="pw",B41="head",B41="mm",B41="dw"),C41,"")</f>
        <v/>
      </c>
      <c r="J41" s="1" t="n">
        <v>0</v>
      </c>
      <c r="K41" s="1" t="n">
        <v>0</v>
      </c>
      <c r="L41" s="1" t="n">
        <f aca="false">C41</f>
        <v>786432</v>
      </c>
      <c r="M41" s="1" t="n">
        <v>0</v>
      </c>
      <c r="N41" s="1" t="n">
        <f aca="false">IF(OR(B41="conv",B41="pw",B41="head",B41="mm",B41="dw"),H41*2*qwen_block!$B$28*(1+config!$B$4),0)</f>
        <v>0</v>
      </c>
      <c r="O41" s="1" t="n">
        <f aca="false">C41</f>
        <v>786432</v>
      </c>
      <c r="P41" s="1" t="n">
        <v>0</v>
      </c>
      <c r="Q41" s="1" t="n">
        <f aca="false">IF(OR(B41="mm",B41="head",B41="conv",B41="pw",B41="dw",B41="dwca"),G41*2*config!$B$2+C41*config!$B$24,0)</f>
        <v>0</v>
      </c>
    </row>
    <row r="42" customFormat="false" ht="15" hidden="false" customHeight="false" outlineLevel="0" collapsed="false">
      <c r="A42" s="3" t="s">
        <v>220</v>
      </c>
      <c r="B42" s="3" t="s">
        <v>216</v>
      </c>
      <c r="C42" s="3" t="n">
        <f aca="false">qwen_block!$B$22*qwen_block!$B$24*qwen_block!$B$25</f>
        <v>98304</v>
      </c>
      <c r="D42" s="3" t="n">
        <v>1</v>
      </c>
      <c r="G42" s="1" t="str">
        <f aca="false">IF(OR(B42="conv",B42="pw",B42="head",B42="mm"),-INT(-C42/config!$B$2)*-INT(-D42/config!$B$2),IF(B42="dw",1,""))</f>
        <v/>
      </c>
      <c r="H42" s="1" t="str">
        <f aca="false">IF(OR(B42="conv",B42="pw",B42="head",B42="mm",B42="dw"),C42*D42,"")</f>
        <v/>
      </c>
      <c r="I42" s="1" t="str">
        <f aca="false">IF(OR(B42="conv",B42="pw",B42="head",B42="mm",B42="dw"),C42,"")</f>
        <v/>
      </c>
      <c r="J42" s="1" t="n">
        <v>0</v>
      </c>
      <c r="K42" s="1" t="n">
        <v>0</v>
      </c>
      <c r="L42" s="1" t="str">
        <f aca="false">IF(B42="mm",G42*config!$B$7,IF(B42="dac",C42*config!$B$12,IF(B42="adc",C42*config!$B$13,"")))</f>
        <v/>
      </c>
      <c r="M42" s="1" t="n">
        <f aca="false">C42*config!$B$23</f>
        <v>983040</v>
      </c>
      <c r="N42" s="1" t="n">
        <f aca="false">IF(OR(B42="conv",B42="pw",B42="head",B42="mm",B42="dw"),H42*2*qwen_block!$B$28*(1+config!$B$4),0)</f>
        <v>0</v>
      </c>
      <c r="O42" s="1" t="n">
        <f aca="false">IF(B42="adc",C42*config!$B$14,0)</f>
        <v>0</v>
      </c>
      <c r="P42" s="1" t="n">
        <v>0</v>
      </c>
      <c r="Q42" s="1" t="n">
        <f aca="false">IF(OR(B42="mm",B42="head",B42="conv",B42="pw",B42="dw",B42="dwca"),G42*2*config!$B$2+C42*config!$B$24,0)</f>
        <v>0</v>
      </c>
    </row>
    <row r="43" customFormat="false" ht="15" hidden="false" customHeight="false" outlineLevel="0" collapsed="false">
      <c r="A43" s="3" t="s">
        <v>221</v>
      </c>
      <c r="B43" s="3" t="s">
        <v>216</v>
      </c>
      <c r="C43" s="3" t="n">
        <f aca="false">$B$23*$B$24</f>
        <v>288</v>
      </c>
      <c r="D43" s="3" t="n">
        <v>1</v>
      </c>
      <c r="G43" s="1" t="str">
        <f aca="false">IF(OR(B43="conv",B43="pw",B43="head",B43="mm"),-INT(-C43/config!$B$2)*-INT(-D43/config!$B$2),IF(B43="dw",1,""))</f>
        <v/>
      </c>
      <c r="H43" s="1" t="str">
        <f aca="false">IF(OR(B43="conv",B43="pw",B43="head",B43="mm",B43="dw"),C43*D43,"")</f>
        <v/>
      </c>
      <c r="I43" s="1" t="str">
        <f aca="false">IF(OR(B43="conv",B43="pw",B43="head",B43="mm",B43="dw"),C43,"")</f>
        <v/>
      </c>
      <c r="J43" s="1" t="n">
        <v>0</v>
      </c>
      <c r="K43" s="1" t="n">
        <v>0</v>
      </c>
      <c r="L43" s="1" t="n">
        <f aca="false">C43*$B$25*config!$B$20</f>
        <v>368640</v>
      </c>
      <c r="M43" s="1" t="n">
        <f aca="false">C43*(qwen_block!$B$25*config!$B$17+config!$B$18*$B$25+config!$B$19)+C43*qwen_block!$B$25*config!$B$23</f>
        <v>887040</v>
      </c>
      <c r="N43" s="1" t="n">
        <f aca="false">IF(OR(B43="conv",B43="pw",B43="head",B43="mm",B43="dw"),H43*2*qwen_block!$B$28*(1+config!$B$4),0)</f>
        <v>0</v>
      </c>
      <c r="O43" s="1" t="n">
        <f aca="false">IF(B43="adc",C43*config!$B$14,0)</f>
        <v>0</v>
      </c>
      <c r="P43" s="1" t="n">
        <v>0</v>
      </c>
      <c r="Q43" s="1" t="n">
        <f aca="false">IF(OR(B43="mm",B43="head",B43="conv",B43="pw",B43="dw",B43="dwca"),G43*2*config!$B$2+C43*config!$B$24,0)</f>
        <v>0</v>
      </c>
    </row>
    <row r="44" customFormat="false" ht="15" hidden="false" customHeight="false" outlineLevel="0" collapsed="false">
      <c r="A44" s="3" t="s">
        <v>222</v>
      </c>
      <c r="B44" s="3" t="s">
        <v>216</v>
      </c>
      <c r="C44" s="3" t="n">
        <f aca="false">qwen_block!$B$23*qwen_block!$B$24*qwen_block!$B$25</f>
        <v>36864</v>
      </c>
      <c r="D44" s="3" t="n">
        <v>1</v>
      </c>
      <c r="G44" s="1" t="str">
        <f aca="false">IF(OR(B44="conv",B44="pw",B44="head",B44="mm"),-INT(-C44/config!$B$2)*-INT(-D44/config!$B$2),IF(B44="dw",1,""))</f>
        <v/>
      </c>
      <c r="H44" s="1" t="str">
        <f aca="false">IF(OR(B44="conv",B44="pw",B44="head",B44="mm",B44="dw"),C44*D44,"")</f>
        <v/>
      </c>
      <c r="I44" s="1" t="str">
        <f aca="false">IF(OR(B44="conv",B44="pw",B44="head",B44="mm",B44="dw"),C44,"")</f>
        <v/>
      </c>
      <c r="J44" s="1" t="n">
        <v>0</v>
      </c>
      <c r="K44" s="1" t="n">
        <v>0</v>
      </c>
      <c r="L44" s="1" t="str">
        <f aca="false">IF(B44="mm",G44*config!$B$7,IF(B44="dac",C44*config!$B$12,IF(B44="adc",C44*config!$B$13,"")))</f>
        <v/>
      </c>
      <c r="M44" s="1" t="n">
        <f aca="false">C44*config!$B$22+C44*config!$B$23</f>
        <v>921600</v>
      </c>
      <c r="N44" s="1" t="n">
        <f aca="false">IF(OR(B44="conv",B44="pw",B44="head",B44="mm",B44="dw"),H44*2*qwen_block!$B$28*(1+config!$B$4),0)</f>
        <v>0</v>
      </c>
      <c r="O44" s="1" t="n">
        <f aca="false">IF(B44="adc",C44*config!$B$14,0)</f>
        <v>0</v>
      </c>
      <c r="P44" s="1" t="n">
        <v>0</v>
      </c>
      <c r="Q44" s="1" t="n">
        <f aca="false">IF(OR(B44="mm",B44="head",B44="conv",B44="pw",B44="dw",B44="dwca"),G44*2*config!$B$2+C44*config!$B$24,0)</f>
        <v>0</v>
      </c>
    </row>
    <row r="45" customFormat="false" ht="15" hidden="false" customHeight="false" outlineLevel="0" collapsed="false">
      <c r="A45" s="3" t="s">
        <v>223</v>
      </c>
      <c r="B45" s="3" t="s">
        <v>216</v>
      </c>
      <c r="C45" s="3" t="n">
        <v>0</v>
      </c>
      <c r="D45" s="3" t="n">
        <v>1</v>
      </c>
      <c r="G45" s="1" t="str">
        <f aca="false">IF(OR(B45="conv",B45="pw",B45="head",B45="mm"),-INT(-C45/config!$B$2)*-INT(-D45/config!$B$2),IF(B45="dw",1,""))</f>
        <v/>
      </c>
      <c r="H45" s="1" t="str">
        <f aca="false">IF(OR(B45="conv",B45="pw",B45="head",B45="mm",B45="dw"),C45*D45,"")</f>
        <v/>
      </c>
      <c r="I45" s="1" t="str">
        <f aca="false">IF(OR(B45="conv",B45="pw",B45="head",B45="mm",B45="dw"),C45,"")</f>
        <v/>
      </c>
      <c r="J45" s="1" t="n">
        <v>0</v>
      </c>
      <c r="K45" s="1" t="n">
        <v>0</v>
      </c>
      <c r="L45" s="1" t="str">
        <f aca="false">IF(B45="mm",G45*config!$B$7,IF(B45="dac",C45*config!$B$12,IF(B45="adc",C45*config!$B$13,"")))</f>
        <v/>
      </c>
      <c r="M45" s="1" t="n">
        <v>0</v>
      </c>
      <c r="N45" s="1" t="n">
        <f aca="false">IF(OR(B45="conv",B45="pw",B45="head",B45="mm",B45="dw"),H45*2*qwen_block!$B$28*(1+config!$B$4),0)</f>
        <v>0</v>
      </c>
      <c r="O45" s="1" t="n">
        <f aca="false">IF(B45="adc",C45*config!$B$14,0)</f>
        <v>0</v>
      </c>
      <c r="P45" s="1" t="n">
        <v>0</v>
      </c>
      <c r="Q45" s="1" t="n">
        <f aca="false">IF(OR(B45="mm",B45="head",B45="conv",B45="pw",B45="dw",B45="dwca"),G45*2*config!$B$2+C45*config!$B$24,0)</f>
        <v>0</v>
      </c>
    </row>
    <row r="46" customFormat="false" ht="15" hidden="false" customHeight="false" outlineLevel="0" collapsed="false">
      <c r="A46" s="3" t="s">
        <v>114</v>
      </c>
      <c r="B46" s="3" t="s">
        <v>115</v>
      </c>
      <c r="C46" s="3" t="n">
        <f aca="false">qwen_block!$B$26*qwen_block!$B$22</f>
        <v>81920</v>
      </c>
      <c r="G46" s="1" t="str">
        <f aca="false">IF(OR(B46="conv",B46="pw",B46="head",B46="mm"),-INT(-C46/config!$B$2)*-INT(-D46/config!$B$2),IF(B46="dw",1,""))</f>
        <v/>
      </c>
      <c r="H46" s="1" t="str">
        <f aca="false">IF(OR(B46="conv",B46="pw",B46="head",B46="mm",B46="dw"),C46*D46,"")</f>
        <v/>
      </c>
      <c r="I46" s="1" t="str">
        <f aca="false">IF(OR(B46="conv",B46="pw",B46="head",B46="mm",B46="dw"),C46,"")</f>
        <v/>
      </c>
      <c r="J46" s="1" t="n">
        <v>0</v>
      </c>
      <c r="K46" s="1" t="n">
        <v>0</v>
      </c>
      <c r="L46" s="1" t="n">
        <f aca="false">IF(B46="mm",G46*config!$B$7,IF(B46="dac",C46*config!$B$12,IF(B46="adc",C46*config!$B$13,"")))</f>
        <v>655360</v>
      </c>
      <c r="M46" s="1" t="n">
        <v>0</v>
      </c>
      <c r="N46" s="1" t="n">
        <f aca="false">IF(OR(B46="conv",B46="pw",B46="head",B46="mm",B46="dw"),H46*2*qwen_block!$B$28*(1+config!$B$4),0)</f>
        <v>0</v>
      </c>
      <c r="O46" s="1" t="n">
        <f aca="false">IF(B46="adc",C46*config!$B$14,0)</f>
        <v>0</v>
      </c>
      <c r="P46" s="1" t="n">
        <v>0</v>
      </c>
      <c r="Q46" s="1" t="n">
        <f aca="false">IF(OR(B46="mm",B46="head",B46="conv",B46="pw",B46="dw",B46="dwca"),G46*2*config!$B$2+C46*config!$B$24,0)</f>
        <v>0</v>
      </c>
    </row>
    <row r="47" customFormat="false" ht="15" hidden="false" customHeight="false" outlineLevel="0" collapsed="false">
      <c r="A47" s="3" t="s">
        <v>224</v>
      </c>
      <c r="B47" s="3" t="s">
        <v>117</v>
      </c>
      <c r="C47" s="3" t="n">
        <f aca="false">qwen_block!$B$26*qwen_block!$B$23</f>
        <v>30720</v>
      </c>
      <c r="G47" s="1" t="str">
        <f aca="false">IF(OR(B47="conv",B47="pw",B47="head",B47="mm"),-INT(-C47/config!$B$2)*-INT(-D47/config!$B$2),IF(B47="dw",1,""))</f>
        <v/>
      </c>
      <c r="H47" s="1" t="str">
        <f aca="false">IF(OR(B47="conv",B47="pw",B47="head",B47="mm",B47="dw"),C47*D47,"")</f>
        <v/>
      </c>
      <c r="I47" s="1" t="str">
        <f aca="false">IF(OR(B47="conv",B47="pw",B47="head",B47="mm",B47="dw"),C47,"")</f>
        <v/>
      </c>
      <c r="J47" s="1" t="n">
        <v>0</v>
      </c>
      <c r="K47" s="1" t="n">
        <v>0</v>
      </c>
      <c r="L47" s="1" t="n">
        <f aca="false">C47*config!$B$13</f>
        <v>307200</v>
      </c>
      <c r="M47" s="1" t="n">
        <v>0</v>
      </c>
      <c r="N47" s="1" t="n">
        <f aca="false">IF(OR(B47="conv",B47="pw",B47="head",B47="mm",B47="dw"),H47*2*qwen_block!$B$28*(1+config!$B$4),0)</f>
        <v>0</v>
      </c>
      <c r="O47" s="1" t="n">
        <f aca="false">C47*12</f>
        <v>368640</v>
      </c>
      <c r="P47" s="1" t="n">
        <v>0</v>
      </c>
      <c r="Q47" s="1" t="n">
        <f aca="false">IF(OR(B47="mm",B47="head",B47="conv",B47="pw",B47="dw",B47="dwca"),G47*2*config!$B$2+C47*config!$B$24,0)</f>
        <v>0</v>
      </c>
    </row>
    <row r="48" customFormat="false" ht="15" hidden="false" customHeight="false" outlineLevel="0" collapsed="false">
      <c r="A48" s="1" t="s">
        <v>118</v>
      </c>
      <c r="B48" s="1" t="s">
        <v>119</v>
      </c>
      <c r="Q48" s="0" t="n">
        <f aca="false">C46+config!$B$27*(C32+C33+C34+C35+C32+C33)+2*config!$B$27*$B$24+3*$B$23*C33+C47</f>
        <v>750592</v>
      </c>
    </row>
    <row r="49" customFormat="false" ht="15" hidden="false" customHeight="false" outlineLevel="0" collapsed="false">
      <c r="A49" s="14" t="s">
        <v>77</v>
      </c>
      <c r="B49" s="14"/>
      <c r="C49" s="14"/>
      <c r="D49" s="14"/>
      <c r="E49" s="14"/>
      <c r="F49" s="14"/>
      <c r="G49" s="14" t="n">
        <f aca="false">SUM(G32:G48)</f>
        <v>28480</v>
      </c>
      <c r="H49" s="14" t="n">
        <f aca="false">SUM(H32:H48)</f>
        <v>115875840</v>
      </c>
      <c r="I49" s="14" t="n">
        <f aca="false">SUM(I32:I48)</f>
        <v>21600</v>
      </c>
      <c r="J49" s="14" t="n">
        <f aca="false">SUM(J32:J48)</f>
        <v>0</v>
      </c>
      <c r="K49" s="14" t="n">
        <f aca="false">SUM(K32:K48)</f>
        <v>0</v>
      </c>
      <c r="L49" s="14" t="n">
        <f aca="false">SUM(L32:L48)</f>
        <v>23995430</v>
      </c>
      <c r="M49" s="14" t="n">
        <f aca="false">SUM(M32:M48)</f>
        <v>6085632</v>
      </c>
      <c r="N49" s="14" t="n">
        <f aca="false">SUM(N32:N48)</f>
        <v>2224816128</v>
      </c>
      <c r="O49" s="14" t="n">
        <f aca="false">SUM(O32:O48)</f>
        <v>1155072</v>
      </c>
      <c r="P49" s="14" t="n">
        <f aca="false">SUM(P32:P48)</f>
        <v>0</v>
      </c>
      <c r="Q49" s="14" t="n">
        <f aca="false">SUM(Q32:Q48)</f>
        <v>4714432</v>
      </c>
    </row>
    <row r="50" customFormat="false" ht="1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</row>
    <row r="51" customFormat="false" ht="1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</row>
    <row r="52" customFormat="false" ht="1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</row>
    <row r="53" customFormat="false" ht="1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2026-09-24T12:56:21Z</dcterms:created>
  <dc:creator>openpyxl</dc:creator>
  <dc:description/>
  <dc:language>en-US</dc:language>
  <cp:lastModifiedBy/>
  <dcterms:modified xsi:type="dcterms:W3CDTF">2026-09-24T18:33:07Z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